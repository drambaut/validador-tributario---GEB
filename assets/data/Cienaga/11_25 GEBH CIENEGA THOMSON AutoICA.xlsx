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drawings/drawing2.xml" ContentType="application/vnd.openxmlformats-officedocument.drawing+xml"/>
  <Override PartName="/xl/printerSettings/printerSettings2.bin" ContentType="application/vnd.openxmlformats-officedocument.spreadsheetml.printerSettings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eb-my.sharepoint.com/personal/impuestos_geb_com_co/Documents/Declaraciones Periódicas/GEB/Proyecto KPI Calidad/Pruebas de Validador de Calidad/Cienaga/"/>
    </mc:Choice>
  </mc:AlternateContent>
  <xr:revisionPtr revIDLastSave="32" documentId="8_{37AE70E4-8345-44C5-9E56-BC0F41C0B44F}" xr6:coauthVersionLast="47" xr6:coauthVersionMax="47" xr10:uidLastSave="{2B549366-C39A-495F-B511-75AF742B9886}"/>
  <bookViews>
    <workbookView xWindow="-120" yWindow="-120" windowWidth="29040" windowHeight="15720" activeTab="2" xr2:uid="{00000000-000D-0000-FFFF-FFFF00000000}"/>
  </bookViews>
  <sheets>
    <sheet name="Admin" sheetId="2" r:id="rId1"/>
    <sheet name="Portada" sheetId="1" r:id="rId2"/>
    <sheet name="Formulario" sheetId="32" r:id="rId3"/>
    <sheet name="NoteTypes" sheetId="47" state="hidden" r:id="rId4"/>
  </sheets>
  <externalReferences>
    <externalReference r:id="rId5"/>
    <externalReference r:id="rId6"/>
    <externalReference r:id="rId7"/>
  </externalReferences>
  <definedNames>
    <definedName name="___R" hidden="1">{#N/A,#N/A,FALSE,"GRAFICO";#N/A,#N/A,FALSE,"CAJA (2)";#N/A,#N/A,FALSE,"TERCEROS-PROMEDIO";#N/A,#N/A,FALSE,"CAJA";#N/A,#N/A,FALSE,"INGRESOS1995-2003";#N/A,#N/A,FALSE,"GASTOS1995-2003"}</definedName>
    <definedName name="_fall" hidden="1">#REF!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Out" hidden="1">#REF!</definedName>
    <definedName name="_R" hidden="1">{#N/A,#N/A,FALSE,"GRAFICO";#N/A,#N/A,FALSE,"CAJA (2)";#N/A,#N/A,FALSE,"TERCEROS-PROMEDIO";#N/A,#N/A,FALSE,"CAJA";#N/A,#N/A,FALSE,"INGRESOS1995-2003";#N/A,#N/A,FALSE,"GASTOS1995-2003"}</definedName>
    <definedName name="_Regression_Int" hidden="1">1</definedName>
    <definedName name="_Sort" hidden="1">#REF!</definedName>
    <definedName name="aa" hidden="1">#REF!</definedName>
    <definedName name="AAAA" hidden="1">{#N/A,#N/A,FALSE,"Aging Summary";#N/A,#N/A,FALSE,"Ratio Analysis";#N/A,#N/A,FALSE,"Test 120 Day Accts";#N/A,#N/A,FALSE,"Tickmarks"}</definedName>
    <definedName name="AccessDatabase" hidden="1">"F:\AndersonLegal\Modificado\ANEXOC2000 PARA SOCIEDADES.mdb"</definedName>
    <definedName name="adfadsfsa" hidden="1">{#N/A,#N/A,FALSE,"GRAFICO";#N/A,#N/A,FALSE,"CAJA (2)";#N/A,#N/A,FALSE,"TERCEROS-PROMEDIO";#N/A,#N/A,FALSE,"CAJA";#N/A,#N/A,FALSE,"INGRESOS1995-2003";#N/A,#N/A,FALSE,"GASTOS1995-2003"}</definedName>
    <definedName name="Adress">Admin!$B$12</definedName>
    <definedName name="AJUSTADO" hidden="1">{"'S. C. B.'!$E$207"}</definedName>
    <definedName name="All_Divisions" hidden="1">#REF!</definedName>
    <definedName name="Analyst" hidden="1">#REF!</definedName>
    <definedName name="ANULAR" hidden="1">{"'S. C. B.'!$E$207"}</definedName>
    <definedName name="_xlnm.Print_Area" localSheetId="2">Formulario!$A$1:$AX$65</definedName>
    <definedName name="ARRENDAM1" hidden="1">{#N/A,#N/A,FALSE,"Aging Summary";#N/A,#N/A,FALSE,"Ratio Analysis";#N/A,#N/A,FALSE,"Test 120 Day Accts";#N/A,#N/A,FALSE,"Tickmarks"}</definedName>
    <definedName name="ARRENDAMIENTO" hidden="1">{#N/A,#N/A,FALSE,"Aging Summary";#N/A,#N/A,FALSE,"Ratio Analysis";#N/A,#N/A,FALSE,"Test 120 Day Accts";#N/A,#N/A,FALSE,"Tickmarks"}</definedName>
    <definedName name="ARRENDAMIENTOS" hidden="1">{#N/A,#N/A,FALSE,"Aging Summary";#N/A,#N/A,FALSE,"Ratio Analysis";#N/A,#N/A,FALSE,"Test 120 Day Accts";#N/A,#N/A,FALSE,"Tickmarks"}</definedName>
    <definedName name="AS2DocOpenMode" hidden="1">"AS2DocumentEdit"</definedName>
    <definedName name="asdf" hidden="1">{#N/A,#N/A,FALSE,"GRAFICO";#N/A,#N/A,FALSE,"CAJA (2)";#N/A,#N/A,FALSE,"TERCEROS-PROMEDIO";#N/A,#N/A,FALSE,"CAJA";#N/A,#N/A,FALSE,"INGRESOS1995-2003";#N/A,#N/A,FALSE,"GASTOS1995-2003"}</definedName>
    <definedName name="B" hidden="1">{"'S. C. B.'!$E$207"}</definedName>
    <definedName name="BB" hidden="1">{"'S. C. B.'!$E$207"}</definedName>
    <definedName name="BBBB" hidden="1">{"PYGT",#N/A,FALSE,"PYG";"ACTIT",#N/A,FALSE,"BCE_GRAL-ACTIVO";"PASIT",#N/A,FALSE,"BCE_GRAL-PASIVO-PATRIM";"CAJAT",#N/A,FALSE,"CAJA"}</definedName>
    <definedName name="BS_Data_Col" hidden="1">#REF!</definedName>
    <definedName name="BSpb" hidden="1">#REF!</definedName>
    <definedName name="Capitalpb" hidden="1">#REF!</definedName>
    <definedName name="Cashpb" hidden="1">#REF!</definedName>
    <definedName name="CDAARA" hidden="1">{"'S. C. B.'!$E$207"}</definedName>
    <definedName name="CFNAL" hidden="1">{"'S. C. B.'!$E$207"}</definedName>
    <definedName name="Change_in_Cash" hidden="1">#REF!</definedName>
    <definedName name="Check_to_Cash" hidden="1">#REF!</definedName>
    <definedName name="Codes">Admin!$B$9</definedName>
    <definedName name="CONCILIACIONELECTROC" hidden="1">{#N/A,#N/A,FALSE,"Aging Summary";#N/A,#N/A,FALSE,"Ratio Analysis";#N/A,#N/A,FALSE,"Test 120 Day Accts";#N/A,#N/A,FALSE,"Tickmarks"}</definedName>
    <definedName name="Contact">Admin!$B$14</definedName>
    <definedName name="CRITERIA" hidden="1">{#N/A,#N/A,FALSE,"GRAFICO";#N/A,#N/A,FALSE,"CAJA (2)";#N/A,#N/A,FALSE,"TERCEROS-PROMEDIO";#N/A,#N/A,FALSE,"CAJA";#N/A,#N/A,FALSE,"INGRESOS1995-2003";#N/A,#N/A,FALSE,"GASTOS1995-2003"}</definedName>
    <definedName name="crt" hidden="1">{#N/A,#N/A,FALSE,"GRAFICO";#N/A,#N/A,FALSE,"CAJA (2)";#N/A,#N/A,FALSE,"TERCEROS-PROMEDIO";#N/A,#N/A,FALSE,"CAJA";#N/A,#N/A,FALSE,"INGRESOS1995-2003";#N/A,#N/A,FALSE,"GASTOS1995-2003"}</definedName>
    <definedName name="CUADRE" hidden="1">{#N/A,#N/A,FALSE,"Aging Summary";#N/A,#N/A,FALSE,"Ratio Analysis";#N/A,#N/A,FALSE,"Test 120 Day Accts";#N/A,#N/A,FALSE,"Tickmarks"}</definedName>
    <definedName name="CUENTASGEB">[1]BASE!$A:$A</definedName>
    <definedName name="DANE">Admin!$R$8</definedName>
    <definedName name="DARWERWETWRET" hidden="1">{"'S. C. B.'!$E$207"}</definedName>
    <definedName name="das" hidden="1">{"'S. C. B.'!$E$207"}</definedName>
    <definedName name="DatacollectionRequesrID">Admin!$B$11</definedName>
    <definedName name="DDDDDD" hidden="1">{"PYGS",#N/A,FALSE,"PYG";"ACTIS",#N/A,FALSE,"BCE_GRAL-ACTIVO";"PASIS",#N/A,FALSE,"BCE_GRAL-PASIVO-PATRIM";"CAJAS",#N/A,FALSE,"CAJA"}</definedName>
    <definedName name="ddddddd" hidden="1">{"PYGS",#N/A,FALSE,"PYG";"ACTIS",#N/A,FALSE,"BCE_GRAL-ACTIVO";"PASIS",#N/A,FALSE,"BCE_GRAL-PASIVO-PATRIM";"CAJAS",#N/A,FALSE,"CAJA"}</definedName>
    <definedName name="de" hidden="1">{"'S. C. B.'!$E$207"}</definedName>
    <definedName name="Dealpb" hidden="1">#REF!</definedName>
    <definedName name="DEOL" hidden="1">{"'S. C. B.'!$E$207"}</definedName>
    <definedName name="Depreciation" hidden="1">#REF!</definedName>
    <definedName name="DepreciationPB" hidden="1">#REF!</definedName>
    <definedName name="DEVOLUCIONES" hidden="1">{"'S. C. B.'!$E$207"}</definedName>
    <definedName name="dfghj" hidden="1">#REF!</definedName>
    <definedName name="DISTRIBUCION" hidden="1">{#N/A,#N/A,FALSE,"GRAFICO";#N/A,#N/A,FALSE,"CAJA (2)";#N/A,#N/A,FALSE,"TERCEROS-PROMEDIO";#N/A,#N/A,FALSE,"CAJA";#N/A,#N/A,FALSE,"INGRESOS1995-2003";#N/A,#N/A,FALSE,"GASTOS1995-2003"}</definedName>
    <definedName name="Div_Inc_pb" hidden="1">#REF!</definedName>
    <definedName name="DivApb" hidden="1">#REF!</definedName>
    <definedName name="DivBpb" hidden="1">#REF!</definedName>
    <definedName name="DivCpb" hidden="1">#REF!</definedName>
    <definedName name="DivDpb" hidden="1">#REF!</definedName>
    <definedName name="DivEpb" hidden="1">#REF!</definedName>
    <definedName name="DivFpb" hidden="1">#REF!</definedName>
    <definedName name="DivGpb" hidden="1">#REF!</definedName>
    <definedName name="DivHpb" hidden="1">#REF!</definedName>
    <definedName name="divi" hidden="1">{"'S. C. B.'!$E$207"}</definedName>
    <definedName name="Divisional_Toggle" hidden="1">#REF!</definedName>
    <definedName name="Duedate">Admin!$B$15</definedName>
    <definedName name="DZ.Main" hidden="1">#REF!</definedName>
    <definedName name="electricaribeLP" hidden="1">{#N/A,#N/A,FALSE,"Aging Summary";#N/A,#N/A,FALSE,"Ratio Analysis";#N/A,#N/A,FALSE,"Test 120 Day Accts";#N/A,#N/A,FALSE,"Tickmarks"}</definedName>
    <definedName name="EntityID">Admin!$B$2</definedName>
    <definedName name="EntityName">Admin!$B$3</definedName>
    <definedName name="ESCENARIO" hidden="1">{#N/A,#N/A,FALSE,"GRAFICO";#N/A,#N/A,FALSE,"CAJA (2)";#N/A,#N/A,FALSE,"TERCEROS-PROMEDIO";#N/A,#N/A,FALSE,"CAJA";#N/A,#N/A,FALSE,"INGRESOS1995-2003";#N/A,#N/A,FALSE,"GASTOS1995-2003"}</definedName>
    <definedName name="Estoquees" hidden="1">{#N/A,#N/A,FALSE,"Aging Summary";#N/A,#N/A,FALSE,"Ratio Analysis";#N/A,#N/A,FALSE,"Test 120 Day Accts";#N/A,#N/A,FALSE,"Tickmarks"}</definedName>
    <definedName name="estoquees1" hidden="1">{#N/A,#N/A,FALSE,"Aging Summary";#N/A,#N/A,FALSE,"Ratio Analysis";#N/A,#N/A,FALSE,"Test 120 Day Accts";#N/A,#N/A,FALSE,"Tickmarks"}</definedName>
    <definedName name="estoquees2" hidden="1">{#N/A,#N/A,FALSE,"Aging Summary";#N/A,#N/A,FALSE,"Ratio Analysis";#N/A,#N/A,FALSE,"Test 120 Day Accts";#N/A,#N/A,FALSE,"Tickmarks"}</definedName>
    <definedName name="ev.Calculation" hidden="1">-4135</definedName>
    <definedName name="ev.Initialized" hidden="1">FALSE</definedName>
    <definedName name="Executivepb" hidden="1">#REF!</definedName>
    <definedName name="Factpb" hidden="1">#REF!</definedName>
    <definedName name="Factpb2" hidden="1">#REF!</definedName>
    <definedName name="FIDUCIASOCTUBRE" hidden="1">{#N/A,#N/A,FALSE,"Aging Summary";#N/A,#N/A,FALSE,"Ratio Analysis";#N/A,#N/A,FALSE,"Test 120 Day Accts";#N/A,#N/A,FALSE,"Tickmarks"}</definedName>
    <definedName name="Financialpb" hidden="1">#REF!</definedName>
    <definedName name="Financialpb2" hidden="1">#REF!</definedName>
    <definedName name="FormsFlowWorkbook" hidden="1">Admin!$A$1</definedName>
    <definedName name="FR" hidden="1">{"'S. C. B.'!$E$207"}</definedName>
    <definedName name="g" hidden="1">#REF!</definedName>
    <definedName name="Gastos" hidden="1">{#N/A,#N/A,FALSE,"GRAFICO";#N/A,#N/A,FALSE,"CAJA (2)";#N/A,#N/A,FALSE,"TERCEROS-PROMEDIO";#N/A,#N/A,FALSE,"CAJA";#N/A,#N/A,FALSE,"INGRESOS1995-2003";#N/A,#N/A,FALSE,"GASTOS1995-2003"}</definedName>
    <definedName name="gggg" hidden="1">#REF!</definedName>
    <definedName name="H" hidden="1">{"PYGS",#N/A,FALSE,"PYG";"ACTIS",#N/A,FALSE,"BCE_GRAL-ACTIVO";"PASIS",#N/A,FALSE,"BCE_GRAL-PASIVO-PATRIM";"CAJAS",#N/A,FALSE,"CAJA"}</definedName>
    <definedName name="HG" hidden="1">{#N/A,#N/A,FALSE,"Aging Summary";#N/A,#N/A,FALSE,"Ratio Analysis";#N/A,#N/A,FALSE,"Test 120 Day Accts";#N/A,#N/A,FALSE,"Tickmarks"}</definedName>
    <definedName name="hhhhhh" hidden="1">{"PYGT",#N/A,FALSE,"PYG";"ACTIT",#N/A,FALSE,"BCE_GRAL-ACTIVO";"PASIT",#N/A,FALSE,"BCE_GRAL-PASIVO-PATRIM";"CAJAT",#N/A,FALSE,"CAJA"}</definedName>
    <definedName name="hhhhhhhhhhh" hidden="1">{"PYGS",#N/A,FALSE,"PYG";"ACTIS",#N/A,FALSE,"BCE_GRAL-ACTIVO";"PASIS",#N/A,FALSE,"BCE_GRAL-PASIVO-PATRIM";"CAJAS",#N/A,FALSE,"CAJA"}</definedName>
    <definedName name="hhhhhhhhhhhh" hidden="1">{"PYGT",#N/A,FALSE,"PYG";"ACTIT",#N/A,FALSE,"BCE_GRAL-ACTIVO";"PASIT",#N/A,FALSE,"BCE_GRAL-PASIVO-PATRIM";"CAJAT",#N/A,FALSE,"CAJA"}</definedName>
    <definedName name="HisYear_0" hidden="1">#REF!</definedName>
    <definedName name="HisYear_1" hidden="1">#REF!</definedName>
    <definedName name="HisYear_2" hidden="1">#REF!</definedName>
    <definedName name="HisYear_3" hidden="1">#REF!</definedName>
    <definedName name="hn.Aggregate" hidden="1">#REF!</definedName>
    <definedName name="hn.CompanyInfo" hidden="1">#REF!</definedName>
    <definedName name="hn.CompanyName" hidden="1">#REF!</definedName>
    <definedName name="hn.CompanyUCN" hidden="1">#REF!</definedName>
    <definedName name="hn.ConvertZero1" hidden="1">[2]LTM!$G$22:$J$22,[2]LTM!$G$24:$J$25,[2]LTM!$G$29:$J$30,[2]LTM!$G$34:$J$36,[2]LTM!$G$41:$J$41,[2]LTM!$G$45:$J$46,[2]LTM!$G$51:$J$51,[2]LTM!$G$75:$J$79,[2]LTM!$G$86:$J$87,[2]LTM!$G$93:$J$98</definedName>
    <definedName name="hn.ConvertZero2" hidden="1">[2]LTM!$G$121:$J$121,[2]LTM!$H$151:$J$152,[2]LTM!$H$175:$J$175,[2]LTM!$H$196:$J$197,[2]LTM!$G$237:$J$241,[2]LTM!$G$247:$J$247,[2]LTM!$G$249:$J$255,[2]LTM!$G$242:$J$243</definedName>
    <definedName name="hn.ConvertZero3" hidden="1">[2]LTM!$G$260:$J$267,[2]LTM!$G$271:$J$275,[2]LTM!$G$278:$J$295,[2]LTM!$G$299:$J$299,[2]LTM!$G$306:$J$312</definedName>
    <definedName name="hn.ConvertZero4" hidden="1">[2]LTM!$G$398:$J$399,[2]LTM!$H$406:$J$406,[2]LTM!$G$407:$J$407,[2]LTM!$J$409:$J$412,[2]LTM!$G$413:$J$416,[2]LTM!$J$417,[2]LTM!$J$418,[2]LTM!$G$423:$J$424</definedName>
    <definedName name="hn.ConvertZeroUnhide1" hidden="1">[2]LTM!$G$424:$J$424,[2]LTM!$L$424:$N$424,[2]LTM!$H$406:$J$406</definedName>
    <definedName name="hn.Delete015" hidden="1">'[2]CREDIT STATS'!$B$9:$K$11,'[2]CREDIT STATS'!$O$11:$X$14,'[2]CREDIT STATS'!$B$25:$K$30,'[2]CREDIT STATS'!$O$25:$X$26</definedName>
    <definedName name="hn.DomesticFlag" hidden="1">#REF!</definedName>
    <definedName name="hn.DZ_MultByFXRates" hidden="1">[2]DropZone!$B$2:$I$118,[2]DropZone!$B$120:$I$132,[2]DropZone!$B$134:$I$136,[2]DropZone!$B$138:$I$146</definedName>
    <definedName name="hn.dz_ThouToMil" hidden="1">[2]DropZone!$B$2:$I$119,[2]DropZone!$E$120:$I$123,[2]DropZone!$B$124:$I$126,[2]DropZone!$B$131:$I$132,[2]DropZone!$B$137:$I$147</definedName>
    <definedName name="hn.ExtDb" hidden="1">FALSE</definedName>
    <definedName name="hn.IssuerID" hidden="1">#REF!</definedName>
    <definedName name="hn.IssuerNameShort" hidden="1">#REF!</definedName>
    <definedName name="hn.LTM_CS" hidden="1">[2]LTM!$H$121:$J$121,[2]LTM!$I$146:$J$146,[2]LTM!$I$151:$J$152,[2]LTM!$I$175:$J$192,[2]LTM!$I$196:$J$197,[2]LTM!$I$204:$J$221</definedName>
    <definedName name="hn.LTM_Misc" hidden="1">[2]LTM!$H$398:$J$407,[2]LTM!$H$413:$J$416,[2]LTM!$H$423:$J$424</definedName>
    <definedName name="hn.LTM_MultByFXRates" hidden="1">[2]LTM!$G$22:$N$38,[2]LTM!$G$41:$N$100,[2]LTM!$G$109:$N$228,[2]LTM!$G$237:$N$406,[2]LTM!$G$409:$N$416,[2]LTM!$G$418:$N$420,[2]LTM!$G$423:$N$424</definedName>
    <definedName name="hn.ModelType" hidden="1">"DEAL"</definedName>
    <definedName name="hn.ModelVersion" hidden="1">1</definedName>
    <definedName name="hn.MultbyFXRates" hidden="1">[2]LTM!$G$22:$N$38,[2]LTM!$G$41:$N$100,[2]LTM!$G$109:$N$228,[2]LTM!$G$237:$N$406,[2]LTM!$G$409:$N$416,[2]LTM!$G$418:$N$420,[2]LTM!$G$423:$N$424</definedName>
    <definedName name="hn.MultByFXRates1" hidden="1">[2]LTM!$G$22:$G$38,[2]LTM!$G$41:$G$100,[2]LTM!$G$109:$G$123,[2]LTM!$G$237:$G$401,[2]LTM!$G$409:$G$424</definedName>
    <definedName name="hn.MultByFXRates2" hidden="1">[2]LTM!$H$22:$H$38,[2]LTM!$H$41:$H$100,[2]LTM!$H$109:$H$228,[2]LTM!$H$237:$H$406,[2]LTM!$H$409:$H$424</definedName>
    <definedName name="hn.MultByFXRates3" hidden="1">[2]LTM!$I$22:$I$38,[2]LTM!$I$41:$I$100,[2]LTM!$I$109:$I$228,[2]LTM!$I$237:$I$406,[2]LTM!$I$409:$I$424</definedName>
    <definedName name="hn.MultbyFxrates4" hidden="1">[2]LTM!$J$22:$J$38,[2]LTM!$J$41:$J$100,[2]LTM!$J$109:$J$229,[2]LTM!$J$237:$J$406,[2]LTM!$J$409:$J$416,[2]LTM!$J$418:$J$420,[2]LTM!$J$423</definedName>
    <definedName name="hn.multbyfxrates5" hidden="1">[2]LTM!$L$22:$L$38,[2]LTM!$L$41:$L$100,[2]LTM!$L$109:$L$123,[2]LTM!$L$237:$L$401,[2]LTM!$L$409:$L$424</definedName>
    <definedName name="hn.multbyfxrates6" hidden="1">[2]LTM!$M$22:$M$38,[2]LTM!$M$41:$M$100,[2]LTM!$M$109:$M$229,[2]LTM!$M$237:$M$406,[2]LTM!$M$409:$M$424</definedName>
    <definedName name="hn.multbyfxrates7" hidden="1">[2]LTM!$N$22:$N$38,[2]LTM!$N$41:$N$100,[2]LTM!$N$109:$N$228,[2]LTM!$N$237:$N$406,[2]LTM!$N$409:$N$424</definedName>
    <definedName name="hn.MultByFXRatesBot1" hidden="1">[2]LTM!$G$237:$G$243,[2]LTM!$G$247,[2]LTM!$G$249:$G$255,[2]LTM!$G$260:$G$267,[2]LTM!$G$271:$G$275,[2]LTM!$G$278:$G$295,[2]LTM!$G$299,[2]LTM!$G$299,[2]LTM!$G$306:$G$312,[2]LTM!$G$401,[2]LTM!$G$409:$G$416,[2]LTM!$G$423:$G$424</definedName>
    <definedName name="hn.MultByFXRatesBot2" hidden="1">[2]LTM!$H$237:$H$243,[2]LTM!$H$247,[2]LTM!$H$249:$H$255,[2]LTM!$H$260:$H$267,[2]LTM!$H$271:$H$275,[2]LTM!$H$278:$H$295,[2]LTM!$H$299,[2]LTM!$H$306:$H$312,[2]LTM!$H$401,[2]LTM!$H$406,[2]LTM!$H$409:$H$416,[2]LTM!$H$423:$H$424</definedName>
    <definedName name="hn.MultByFXRatesBot3" hidden="1">[2]LTM!$I$237:$I$243,[2]LTM!$I$247,[2]LTM!$I$249:$I$255,[2]LTM!$I$260:$I$267,[2]LTM!$I$271:$I$275,[2]LTM!$I$278:$I$295,[2]LTM!$I$299,[2]LTM!$I$306:$I$312,[2]LTM!$I$401,[2]LTM!$I$406,[2]LTM!$I$409:$I$416,[2]LTM!$I$423:$I$424</definedName>
    <definedName name="hn.MultByFXRatesBot4" hidden="1">[2]LTM!$J$237:$J$243,[2]LTM!$J$247,[2]LTM!$J$249:$J$255,[2]LTM!$J$260:$J$267,[2]LTM!$J$271:$J$275,[2]LTM!$J$278:$J$295,[2]LTM!$J$299,[2]LTM!$J$306:$J$312,[2]LTM!$J$401,[2]LTM!$J$406,[2]LTM!$J$409:$J$416,[2]LTM!$J$418:$J$420,[2]LTM!$J$423</definedName>
    <definedName name="hn.MultByFXRatesBot5" hidden="1">[2]LTM!$L$237:$L$243,[2]LTM!$L$247,[2]LTM!$L$249:$L$255,[2]LTM!$L$260:$L$267,[2]LTM!$L$271:$L$275,[2]LTM!$L$278:$L$295,[2]LTM!$L$299,[2]LTM!$L$306:$L$312,[2]LTM!$L$398:$L$399,[2]LTM!$L$409:$L$413,[2]LTM!$L$423:$L$424</definedName>
    <definedName name="hn.MultByFXRatesBot6" hidden="1">[2]LTM!$M$237:$M$243,[2]LTM!$M$247,[2]LTM!$M$249:$M$255,[2]LTM!$M$260:$M$267,[2]LTM!$M$271:$M$275,[2]LTM!$M$278:$M$295,[2]LTM!$M$299,[2]LTM!$M$306:$M$312,[2]LTM!$M$398:$M$399,[2]LTM!$M$409:$M$413,[2]LTM!$M$423:$M$424</definedName>
    <definedName name="hn.MultByFXRatesBot7" hidden="1">[2]LTM!$N$237:$N$243,[2]LTM!$N$247,[2]LTM!$N$249:$N$255,[2]LTM!$N$260:$N$267,[2]LTM!$N$271:$N$275,[2]LTM!$N$278:$N$295,[2]LTM!$N$299,[2]LTM!$N$306:$N$312,[2]LTM!$N$398:$N$399,[2]LTM!$N$409:$N$413,[2]LTM!$N$423:$N$424</definedName>
    <definedName name="hn.MultByFXRatesTop1" hidden="1">[2]LTM!$G$22,[2]LTM!$G$24:$G$25,[2]LTM!$G$29:$G$30,[2]LTM!$G$34:$G$36,[2]LTM!$G$41,[2]LTM!$G$45:$G$46,[2]LTM!$G$51:$G$70,[2]LTM!$G$73,[2]LTM!$G$75:$G$79,[2]LTM!$G$86:$G$87,[2]LTM!$G$93:$G$98,[2]LTM!$G$121</definedName>
    <definedName name="hn.MultByFXRatesTop2" hidden="1">[2]LTM!$H$22,[2]LTM!$H$24:$H$25,[2]LTM!$H$29:$H$30,[2]LTM!$H$34:$H$36,[2]LTM!$H$41,[2]LTM!$H$45:$H$46,[2]LTM!$H$51:$H$70,[2]LTM!$H$73,[2]LTM!$H$75:$H$79,[2]LTM!$H$86:$H$87,[2]LTM!$H$93:$H$98,[2]LTM!$H$121,[2]LTM!$H$151:$H$152,[2]LTM!$H$175:$H$192,[2]LTM!$H$196:$H$197</definedName>
    <definedName name="hn.MultByFXRatesTop3" hidden="1">[2]LTM!$I$22,[2]LTM!$I$24:$I$25,[2]LTM!$I$29:$I$30,[2]LTM!$I$34:$I$36,[2]LTM!$I$41,[2]LTM!$I$45:$I$46,[2]LTM!$I$51:$I$70,[2]LTM!$I$73,[2]LTM!$I$75:$I$79,[2]LTM!$I$86:$I$87,[2]LTM!$I$93:$I$98,[2]LTM!$I$121,[2]LTM!$I$151:$I$152,[2]LTM!$I$175:$I$192,[2]LTM!$I$196:$I$197</definedName>
    <definedName name="hn.MultByFXRatesTop4" hidden="1">[2]LTM!$J$22,[2]LTM!$J$24:$J$25,[2]LTM!$J$29:$J$30,[2]LTM!$J$34:$J$36,[2]LTM!$J$41,[2]LTM!$J$45:$J$46,[2]LTM!$J$51:$J$70,[2]LTM!$J$73,[2]LTM!$J$75:$J$79,[2]LTM!$J$86:$J$87,[2]LTM!$J$93:$J$98,[2]LTM!$J$121,[2]LTM!$J$151:$J$152,[2]LTM!$J$175:$J$192,[2]LTM!$J$196:$J$197</definedName>
    <definedName name="hn.MultByFXRatesTop5" hidden="1">[2]LTM!$L$22,[2]LTM!$L$24:$L$25,[2]LTM!$L$29:$L$30,[2]LTM!$L$34:$L$36,[2]LTM!$L$41,[2]LTM!$L$45:$L$46,[2]LTM!$L$51:$L$70,[2]LTM!$L$73,[2]LTM!$L$75:$L$79,[2]LTM!$L$86:$L$87,[2]LTM!$L$93:$L$98,[2]LTM!$L$121</definedName>
    <definedName name="hn.MultByFXRatesTop6" hidden="1">[2]LTM!$M$22,[2]LTM!$M$24:$M$25,[2]LTM!$M$29:$M$30,[2]LTM!$M$34:$M$36,[2]LTM!$M$41,[2]LTM!$M$45:$M$46,[2]LTM!$M$51:$M$70,[2]LTM!$M$73,[2]LTM!$M$75:$M$79,[2]LTM!$M$86:$M$87,[2]LTM!$M$93:$M$98,[2]LTM!$M$121,[2]LTM!$M$151:$M$152,[2]LTM!$M$175:$M$192,[2]LTM!$M$196:$M$197</definedName>
    <definedName name="hn.MultByFXRatesTop7" hidden="1">[2]LTM!$N$22,[2]LTM!$N$24:$N$25,[2]LTM!$N$29:$N$30,[2]LTM!$N$34:$N$36,[2]LTM!$N$41,[2]LTM!$N$45:$N$46,[2]LTM!$N$51:$N$70,[2]LTM!$N$73,[2]LTM!$N$75:$N$79,[2]LTM!$N$86:$N$87,[2]LTM!$N$93:$N$98,[2]LTM!$N$121,[2]LTM!$N$151:$N$152,[2]LTM!$N$175:$N$192,[2]LTM!$N$196:$N$197</definedName>
    <definedName name="hn.NoUpload" hidden="1">0</definedName>
    <definedName name="hn.ObligorGrade" hidden="1">#REF!</definedName>
    <definedName name="hn.ParentName" hidden="1">#REF!</definedName>
    <definedName name="hn.ParentUCN" hidden="1">#REF!</definedName>
    <definedName name="hn.PrivateEndMonth" hidden="1">#REF!</definedName>
    <definedName name="hn.PrivateLTM" hidden="1">#REF!</definedName>
    <definedName name="hn.PrivateQuarter" hidden="1">#REF!</definedName>
    <definedName name="hn.PrivateYear" hidden="1">#REF!</definedName>
    <definedName name="hn.PrivateYearEnd" hidden="1">#REF!</definedName>
    <definedName name="hn.PublicFlag" hidden="1">#REF!</definedName>
    <definedName name="hn.ReviewDescription" hidden="1">#REF!</definedName>
    <definedName name="hn.ReviewID" hidden="1">#REF!</definedName>
    <definedName name="hn.ReviewYear" hidden="1">#REF!</definedName>
    <definedName name="hn.RolledForward" hidden="1">FALSE</definedName>
    <definedName name="hn.Segment" hidden="1">#REF!</definedName>
    <definedName name="hn.SegmentDesc" hidden="1">#REF!</definedName>
    <definedName name="hn.SegmentID" hidden="1">#REF!</definedName>
    <definedName name="hn.Ticker" hidden="1">#REF!</definedName>
    <definedName name="hn.UserLogin" hidden="1">#REF!</definedName>
    <definedName name="hn.YearLabel" hidden="1">#REF!</definedName>
    <definedName name="HTML_CodePage" hidden="1">1252</definedName>
    <definedName name="HTML_Control" hidden="1">{"'S. C. B.'!$E$207"}</definedName>
    <definedName name="HTML_Description" hidden="1">""</definedName>
    <definedName name="HTML_Email" hidden="1">""</definedName>
    <definedName name="HTML_Header" hidden="1">"S. C. B."</definedName>
    <definedName name="HTML_LastUpdate" hidden="1">"20/6/00"</definedName>
    <definedName name="HTML_LineAfter" hidden="1">FALSE</definedName>
    <definedName name="HTML_LineBefore" hidden="1">FALSE</definedName>
    <definedName name="HTML_Name" hidden="1">"Nery Tuirán"</definedName>
    <definedName name="HTML_OBDlg2" hidden="1">TRUE</definedName>
    <definedName name="HTML_OBDlg4" hidden="1">TRUE</definedName>
    <definedName name="HTML_OS" hidden="1">0</definedName>
    <definedName name="HTML_PathFile" hidden="1">"A:\HTML.htm"</definedName>
    <definedName name="HTML_Title" hidden="1">"FIRMAS COMISIONISTAS"</definedName>
    <definedName name="I" hidden="1">{"PYGT",#N/A,FALSE,"PYG";"ACTIT",#N/A,FALSE,"BCE_GRAL-ACTIVO";"PASIT",#N/A,FALSE,"BCE_GRAL-PASIVO-PATRIM";"CAJAT",#N/A,FALSE,"CAJA"}</definedName>
    <definedName name="iiiiiiiiiiiiii" hidden="1">{"PYGT",#N/A,FALSE,"PYG";"ACTIT",#N/A,FALSE,"BCE_GRAL-ACTIVO";"PASIT",#N/A,FALSE,"BCE_GRAL-PASIVO-PATRIM";"CAJAT",#N/A,FALSE,"CAJA"}</definedName>
    <definedName name="ij" hidden="1">{#N/A,#N/A,FALSE,"Aging Summary";#N/A,#N/A,FALSE,"Ratio Analysis";#N/A,#N/A,FALSE,"Test 120 Day Accts";#N/A,#N/A,FALSE,"Tickmarks"}</definedName>
    <definedName name="Incomepb" hidden="1">#REF!</definedName>
    <definedName name="INGRESOSGEB">[1]BASE!$M:$M</definedName>
    <definedName name="INTERESES" hidden="1">{#N/A,#N/A,FALSE,"Aging Summary";#N/A,#N/A,FALSE,"Ratio Analysis";#N/A,#N/A,FALSE,"Test 120 Day Accts";#N/A,#N/A,FALSE,"Tickmarks"}</definedName>
    <definedName name="IsColHidden" hidden="1">FALSE</definedName>
    <definedName name="IsLTMColHidden" hidden="1">FALSE</definedName>
    <definedName name="IsSecureRevolve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JE" hidden="1">{"'S. C. B.'!$E$207"}</definedName>
    <definedName name="jhjj" hidden="1">{"'S. C. B.'!$E$207"}</definedName>
    <definedName name="JJAJAJJ" hidden="1">{"'S. C. B.'!$E$207"}</definedName>
    <definedName name="juan" hidden="1">#REF!</definedName>
    <definedName name="JULIO" hidden="1">{"'S. C. B.'!$E$207"}</definedName>
    <definedName name="JUNIO" hidden="1">{"'S. C. B.'!$E$207"}</definedName>
    <definedName name="Jurisdiction">Admin!$B$8</definedName>
    <definedName name="JV" hidden="1">{"'S. C. B.'!$E$207"}</definedName>
    <definedName name="K" hidden="1">{"PYGT",#N/A,FALSE,"PYG";"ACTIT",#N/A,FALSE,"BCE_GRAL-ACTIVO";"PASIT",#N/A,FALSE,"BCE_GRAL-PASIVO-PATRIM";"CAJAT",#N/A,FALSE,"CAJA"}</definedName>
    <definedName name="K2_WBEVMODE" hidden="1">-1</definedName>
    <definedName name="KJ" hidden="1">{#N/A,#N/A,FALSE,"Aging Summary";#N/A,#N/A,FALSE,"Ratio Analysis";#N/A,#N/A,FALSE,"Test 120 Day Accts";#N/A,#N/A,FALSE,"Tickmarks"}</definedName>
    <definedName name="KK" hidden="1">{#N/A,#N/A,FALSE,"Aging Summary";#N/A,#N/A,FALSE,"Ratio Analysis";#N/A,#N/A,FALSE,"Test 120 Day Accts";#N/A,#N/A,FALSE,"Tickmarks"}</definedName>
    <definedName name="kkkkkkkkkkkkkkk" hidden="1">{"PYGT",#N/A,FALSE,"PYG";"ACTIT",#N/A,FALSE,"BCE_GRAL-ACTIVO";"PASIT",#N/A,FALSE,"BCE_GRAL-PASIVO-PATRIM";"CAJAT",#N/A,FALSE,"CAJA"}</definedName>
    <definedName name="Left_Header" hidden="1">#REF!</definedName>
    <definedName name="LJ" hidden="1">{"'S. C. B.'!$E$207"}</definedName>
    <definedName name="ll" hidden="1">{#N/A,#N/A,FALSE,"Aging Summary";#N/A,#N/A,FALSE,"Ratio Analysis";#N/A,#N/A,FALSE,"Test 120 Day Accts";#N/A,#N/A,FALSE,"Tickmarks"}</definedName>
    <definedName name="LM" hidden="1">{#N/A,#N/A,FALSE,"Aging Summary";#N/A,#N/A,FALSE,"Ratio Analysis";#N/A,#N/A,FALSE,"Test 120 Day Accts";#N/A,#N/A,FALSE,"Tickmarks"}</definedName>
    <definedName name="LOGISTICA" hidden="1">{"'S. C. B.'!$E$207"}</definedName>
    <definedName name="m" hidden="1">{#N/A,#N/A,FALSE,"GRAFICO";#N/A,#N/A,FALSE,"CAJA (2)";#N/A,#N/A,FALSE,"TERCEROS-PROMEDIO";#N/A,#N/A,FALSE,"CAJA";#N/A,#N/A,FALSE,"INGRESOS1995-2003";#N/A,#N/A,FALSE,"GASTOS1995-2003"}</definedName>
    <definedName name="MarkP" hidden="1">{#N/A,#N/A,FALSE,"GRAFICO";#N/A,#N/A,FALSE,"CAJA (2)";#N/A,#N/A,FALSE,"TERCEROS-PROMEDIO";#N/A,#N/A,FALSE,"CAJA";#N/A,#N/A,FALSE,"INGRESOS1995-2003";#N/A,#N/A,FALSE,"GASTOS1995-2003"}</definedName>
    <definedName name="memorandodepago.block">#REF!</definedName>
    <definedName name="MIOJAKDJKA" hidden="1">{"'S. C. B.'!$E$207"}</definedName>
    <definedName name="MMMM" hidden="1">{#N/A,#N/A,FALSE,"GRAFICO";#N/A,#N/A,FALSE,"CAJA (2)";#N/A,#N/A,FALSE,"TERCEROS-PROMEDIO";#N/A,#N/A,FALSE,"CAJA";#N/A,#N/A,FALSE,"INGRESOS1995-2003";#N/A,#N/A,FALSE,"GASTOS1995-2003"}</definedName>
    <definedName name="MMMMM" hidden="1">{"PYGT",#N/A,FALSE,"PYG";"ACTIT",#N/A,FALSE,"BCE_GRAL-ACTIVO";"PASIT",#N/A,FALSE,"BCE_GRAL-PASIVO-PATRIM";"CAJAT",#N/A,FALSE,"CAJA"}</definedName>
    <definedName name="mmmmmmmmmm" hidden="1">{"PYGT",#N/A,FALSE,"PYG";"ACTIT",#N/A,FALSE,"BCE_GRAL-ACTIVO";"PASIT",#N/A,FALSE,"BCE_GRAL-PASIVO-PATRIM";"CAJAT",#N/A,FALSE,"CAJA"}</definedName>
    <definedName name="mmmmmmmmmmmmm" hidden="1">{#N/A,#N/A,FALSE,"GRAFICO";#N/A,#N/A,FALSE,"CAJA (2)";#N/A,#N/A,FALSE,"TERCEROS-PROMEDIO";#N/A,#N/A,FALSE,"CAJA";#N/A,#N/A,FALSE,"INGRESOS1995-2003";#N/A,#N/A,FALSE,"GASTOS1995-2003"}</definedName>
    <definedName name="MN" hidden="1">{#N/A,#N/A,FALSE,"Aging Summary";#N/A,#N/A,FALSE,"Ratio Analysis";#N/A,#N/A,FALSE,"Test 120 Day Accts";#N/A,#N/A,FALSE,"Tickmarks"}</definedName>
    <definedName name="MUNICIPIOSGEB">[1]BASE!$AR:$AR</definedName>
    <definedName name="n" hidden="1">#REF!</definedName>
    <definedName name="nn" hidden="1">#REF!</definedName>
    <definedName name="NNN" hidden="1">{"PYGS",#N/A,FALSE,"PYG";"ACTIS",#N/A,FALSE,"BCE_GRAL-ACTIVO";"PASIS",#N/A,FALSE,"BCE_GRAL-PASIVO-PATRIM";"CAJAS",#N/A,FALSE,"CAJA"}</definedName>
    <definedName name="NNNN" hidden="1">{"PYGT",#N/A,FALSE,"PYG";"ACTIT",#N/A,FALSE,"BCE_GRAL-ACTIVO";"PASIT",#N/A,FALSE,"BCE_GRAL-PASIVO-PATRIM";"CAJAT",#N/A,FALSE,"CAJA"}</definedName>
    <definedName name="NNNNN" hidden="1">{"PYGT",#N/A,FALSE,"PYG";"ACTIT",#N/A,FALSE,"BCE_GRAL-ACTIVO";"PASIT",#N/A,FALSE,"BCE_GRAL-PASIVO-PATRIM";"CAJAT",#N/A,FALSE,"CAJA"}</definedName>
    <definedName name="NO" hidden="1">{"PYGT",#N/A,FALSE,"PYG";"ACTIT",#N/A,FALSE,"BCE_GRAL-ACTIVO";"PASIT",#N/A,FALSE,"BCE_GRAL-PASIVO-PATRIM";"CAJAT",#N/A,FALSE,"CAJA"}</definedName>
    <definedName name="NóminaConfidencial" hidden="1">{#N/A,#N/A,FALSE,"Aging Summary";#N/A,#N/A,FALSE,"Ratio Analysis";#N/A,#N/A,FALSE,"Test 120 Day Accts";#N/A,#N/A,FALSE,"Tickmarks"}</definedName>
    <definedName name="ñl" hidden="1">{#N/A,#N/A,FALSE,"Aging Summary";#N/A,#N/A,FALSE,"Ratio Analysis";#N/A,#N/A,FALSE,"Test 120 Day Accts";#N/A,#N/A,FALSE,"Tickmarks"}</definedName>
    <definedName name="OBS_Data_Col" hidden="1">#REF!</definedName>
    <definedName name="Openingpb" hidden="1">#REF!</definedName>
    <definedName name="OWNER" hidden="1">#REF!</definedName>
    <definedName name="p.BS" hidden="1">#REF!</definedName>
    <definedName name="p.BSAssumptions" hidden="1">#REF!</definedName>
    <definedName name="p.CapStructure" hidden="1">#REF!</definedName>
    <definedName name="p.CashFlow" hidden="1">#REF!</definedName>
    <definedName name="p.Covenants" hidden="1">#REF!</definedName>
    <definedName name="p.Covenants_Titles" hidden="1">#REF!</definedName>
    <definedName name="p.Cover" hidden="1">#REF!</definedName>
    <definedName name="p.DCF" hidden="1">#REF!</definedName>
    <definedName name="p.DCF_Titles" hidden="1">#REF!</definedName>
    <definedName name="p.Depreciation" hidden="1">#REF!</definedName>
    <definedName name="p.DivisionA" hidden="1">#REF!</definedName>
    <definedName name="p.DivisionB" hidden="1">#REF!</definedName>
    <definedName name="p.DivisionC" hidden="1">#REF!</definedName>
    <definedName name="p.DivisionD" hidden="1">#REF!</definedName>
    <definedName name="p.DivisionE" hidden="1">#REF!</definedName>
    <definedName name="p.DivisionF" hidden="1">#REF!</definedName>
    <definedName name="p.DivisionG" hidden="1">#REF!</definedName>
    <definedName name="p.DivisionH" hidden="1">#REF!</definedName>
    <definedName name="p.Executive" hidden="1">#REF!</definedName>
    <definedName name="p.FactSheet" hidden="1">#REF!</definedName>
    <definedName name="p.IRR" hidden="1">#REF!</definedName>
    <definedName name="p.IRR_Titles" hidden="1">#REF!</definedName>
    <definedName name="p.IS" hidden="1">#REF!</definedName>
    <definedName name="p.ISAssumptions" hidden="1">#REF!</definedName>
    <definedName name="p.OpeningBS" hidden="1">#REF!</definedName>
    <definedName name="p.SP" hidden="1">#REF!</definedName>
    <definedName name="p.Summary" hidden="1">#REF!</definedName>
    <definedName name="p.Summary_Titles" hidden="1">#REF!</definedName>
    <definedName name="p.TaxCalculation" hidden="1">#REF!</definedName>
    <definedName name="PARAMETROS">#REF!</definedName>
    <definedName name="particulares1" hidden="1">{#N/A,#N/A,FALSE,"Aging Summary";#N/A,#N/A,FALSE,"Ratio Analysis";#N/A,#N/A,FALSE,"Test 120 Day Accts";#N/A,#N/A,FALSE,"Tickmarks"}</definedName>
    <definedName name="Period">Admin!$B$6</definedName>
    <definedName name="pl" hidden="1">{#N/A,#N/A,FALSE,"Aging Summary";#N/A,#N/A,FALSE,"Ratio Analysis";#N/A,#N/A,FALSE,"Test 120 Day Accts";#N/A,#N/A,FALSE,"Tickmarks"}</definedName>
    <definedName name="PLUG" hidden="1">#REF!</definedName>
    <definedName name="PrintEnd" hidden="1">#REF!</definedName>
    <definedName name="PrintStart" hidden="1">#REF!</definedName>
    <definedName name="PRUEBA" hidden="1">"AS2DocumentBrowse"</definedName>
    <definedName name="qasd" hidden="1">#REF!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EA" hidden="1">{"'S. C. B.'!$E$207"}</definedName>
    <definedName name="reajuste" hidden="1">{"'S. C. B.'!$E$207"}</definedName>
    <definedName name="RENTA" hidden="1">{"'S. C. B.'!$E$207"}</definedName>
    <definedName name="reporte.block">Formulario!$AB$13:$AB$50</definedName>
    <definedName name="RESUMEN" hidden="1">{"'S. C. B.'!$E$207"}</definedName>
    <definedName name="RF" hidden="1">{#N/A,#N/A,FALSE,"Aging Summary";#N/A,#N/A,FALSE,"Ratio Analysis";#N/A,#N/A,FALSE,"Test 120 Day Accts";#N/A,#N/A,FALSE,"Tickmarks"}</definedName>
    <definedName name="rngShowNames" hidden="1">#REF!</definedName>
    <definedName name="Rows2Unhide" hidden="1">#REF!</definedName>
    <definedName name="rrrrrrrrrrr" hidden="1">{#N/A,#N/A,FALSE,"GRAFICO";#N/A,#N/A,FALSE,"CAJA (2)";#N/A,#N/A,FALSE,"TERCEROS-PROMEDIO";#N/A,#N/A,FALSE,"CAJA";#N/A,#N/A,FALSE,"INGRESOS1995-2003";#N/A,#N/A,FALSE,"GASTOS1995-2003"}</definedName>
    <definedName name="RT" hidden="1">{"'S. C. B.'!$E$207"}</definedName>
    <definedName name="Scenario">Admin!$B$10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1</definedName>
    <definedName name="solver_val" hidden="1">999999999</definedName>
    <definedName name="sssssssssss" hidden="1">{#N/A,#N/A,FALSE,"GRAFICO";#N/A,#N/A,FALSE,"CAJA (2)";#N/A,#N/A,FALSE,"TERCEROS-PROMEDIO";#N/A,#N/A,FALSE,"CAJA";#N/A,#N/A,FALSE,"INGRESOS1995-2003";#N/A,#N/A,FALSE,"GASTOS1995-2003"}</definedName>
    <definedName name="Status">Admin!$B$7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t" hidden="1">{"'S. C. B.'!$E$207"}</definedName>
    <definedName name="Taxpb" hidden="1">#REF!</definedName>
    <definedName name="TaxType">Admin!$B$4</definedName>
    <definedName name="TC" hidden="1">{#N/A,#N/A,FALSE,"GRAFICO";#N/A,#N/A,FALSE,"CAJA (2)";#N/A,#N/A,FALSE,"TERCEROS-PROMEDIO";#N/A,#N/A,FALSE,"CAJA";#N/A,#N/A,FALSE,"INGRESOS1995-2003";#N/A,#N/A,FALSE,"GASTOS1995-2003"}</definedName>
    <definedName name="TemplateName">Admin!$B$13</definedName>
    <definedName name="TESV" hidden="1">{"'S. C. B.'!$E$207"}</definedName>
    <definedName name="TextRefCopyRangeCount" hidden="1">27</definedName>
    <definedName name="tid" hidden="1">{"'S. C. B.'!$E$207"}</definedName>
    <definedName name="Titlepb" hidden="1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ttttttt" hidden="1">{"PYGT",#N/A,FALSE,"PYG";"ACTIT",#N/A,FALSE,"BCE_GRAL-ACTIVO";"PASIT",#N/A,FALSE,"BCE_GRAL-PASIVO-PATRIM";"CAJAT",#N/A,FALSE,"CAJA"}</definedName>
    <definedName name="ttttttttttt" hidden="1">{"PYGT",#N/A,FALSE,"PYG";"ACTIT",#N/A,FALSE,"BCE_GRAL-ACTIVO";"PASIT",#N/A,FALSE,"BCE_GRAL-PASIVO-PATRIM";"CAJAT",#N/A,FALSE,"CAJA"}</definedName>
    <definedName name="ttttttttttttt" hidden="1">{"PYGT",#N/A,FALSE,"PYG";"ACTIT",#N/A,FALSE,"BCE_GRAL-ACTIVO";"PASIT",#N/A,FALSE,"BCE_GRAL-PASIVO-PATRIM";"CAJAT",#N/A,FALSE,"CAJA"}</definedName>
    <definedName name="Unit" hidden="1">#REF!</definedName>
    <definedName name="VENTA" hidden="1">{"'S. C. B.'!$E$207"}</definedName>
    <definedName name="VENTAS" hidden="1">{"'S. C. B.'!$E$207"}</definedName>
    <definedName name="VTA" hidden="1">{"'S. C. B.'!$E$207"}</definedName>
    <definedName name="wrn.Aging._.and._.Trend._.Analysis." hidden="1">{#N/A,#N/A,FALSE,"Aging Summary";#N/A,#N/A,FALSE,"Ratio Analysis";#N/A,#N/A,FALSE,"Test 120 Day Accts";#N/A,#N/A,FALSE,"Tickmarks"}</definedName>
    <definedName name="wrn.PROYEC." hidden="1">{#N/A,#N/A,FALSE,"GRAFICO";#N/A,#N/A,FALSE,"CAJA (2)";#N/A,#N/A,FALSE,"TERCEROS-PROMEDIO";#N/A,#N/A,FALSE,"CAJA";#N/A,#N/A,FALSE,"INGRESOS1995-2003";#N/A,#N/A,FALSE,"GASTOS1995-2003"}</definedName>
    <definedName name="wrn.SENCILLO." hidden="1">{"PYGS",#N/A,FALSE,"PYG";"ACTIS",#N/A,FALSE,"BCE_GRAL-ACTIVO";"PASIS",#N/A,FALSE,"BCE_GRAL-PASIVO-PATRIM";"CAJAS",#N/A,FALSE,"CAJA"}</definedName>
    <definedName name="wrn.TOTAL." hidden="1">{"PYGT",#N/A,FALSE,"PYG";"ACTIT",#N/A,FALSE,"BCE_GRAL-ACTIVO";"PASIT",#N/A,FALSE,"BCE_GRAL-PASIVO-PATRIM";"CAJAT",#N/A,FALSE,"CAJA"}</definedName>
    <definedName name="XRefColumnsCount" hidden="1">2</definedName>
    <definedName name="XRefCopyRangeCount" hidden="1">2</definedName>
    <definedName name="XRefPasteRangeCount" hidden="1">1</definedName>
    <definedName name="XXX" hidden="1">{#N/A,#N/A,FALSE,"Aging Summary";#N/A,#N/A,FALSE,"Ratio Analysis";#N/A,#N/A,FALSE,"Test 120 Day Accts";#N/A,#N/A,FALSE,"Tickmarks"}</definedName>
    <definedName name="xxxxxx" hidden="1">{#N/A,#N/A,FALSE,"Aging Summary";#N/A,#N/A,FALSE,"Ratio Analysis";#N/A,#N/A,FALSE,"Test 120 Day Accts";#N/A,#N/A,FALSE,"Tickmarks"}</definedName>
    <definedName name="Year">Admin!$B$5</definedName>
    <definedName name="YO" hidden="1">{#N/A,#N/A,FALSE,"GRAFICO";#N/A,#N/A,FALSE,"CAJA (2)";#N/A,#N/A,FALSE,"TERCEROS-PROMEDIO";#N/A,#N/A,FALSE,"CAJA";#N/A,#N/A,FALSE,"INGRESOS1995-2003";#N/A,#N/A,FALSE,"GASTOS1995-2003"}</definedName>
    <definedName name="YY" hidden="1">{#N/A,#N/A,FALSE,"GRAFICO";#N/A,#N/A,FALSE,"CAJA (2)";#N/A,#N/A,FALSE,"TERCEROS-PROMEDIO";#N/A,#N/A,FALSE,"CAJA";#N/A,#N/A,FALSE,"INGRESOS1995-2003";#N/A,#N/A,FALSE,"GASTOS1995-2003"}</definedName>
    <definedName name="YYYY" hidden="1">{#N/A,#N/A,FALSE,"GRAFICO";#N/A,#N/A,FALSE,"CAJA (2)";#N/A,#N/A,FALSE,"TERCEROS-PROMEDIO";#N/A,#N/A,FALSE,"CAJA";#N/A,#N/A,FALSE,"INGRESOS1995-2003";#N/A,#N/A,FALSE,"GASTOS1995-2003"}</definedName>
    <definedName name="yyyyyy" hidden="1">{"PYGS",#N/A,FALSE,"PYG";"ACTIS",#N/A,FALSE,"BCE_GRAL-ACTIVO";"PASIS",#N/A,FALSE,"BCE_GRAL-PASIVO-PATRIM";"CAJAS",#N/A,FALSE,"CAJA"}</definedName>
    <definedName name="yyyyyyyyyyyyyyy" hidden="1">{#N/A,#N/A,FALSE,"GRAFICO";#N/A,#N/A,FALSE,"CAJA (2)";#N/A,#N/A,FALSE,"TERCEROS-PROMEDIO";#N/A,#N/A,FALSE,"CAJA";#N/A,#N/A,FALSE,"INGRESOS1995-2003";#N/A,#N/A,FALSE,"GASTOS1995-2003"}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3" i="2" l="1"/>
  <c r="AB78" i="32"/>
  <c r="AB77" i="32"/>
  <c r="AB76" i="32"/>
  <c r="AB75" i="32"/>
  <c r="W75" i="32"/>
  <c r="W74" i="32"/>
  <c r="K74" i="32"/>
  <c r="O73" i="32"/>
  <c r="O72" i="32"/>
  <c r="O71" i="32"/>
  <c r="O70" i="32"/>
  <c r="G8" i="1"/>
  <c r="G2" i="1"/>
  <c r="W13" i="2"/>
  <c r="S13" i="2"/>
  <c r="R8" i="2"/>
  <c r="K71" i="32" l="1"/>
  <c r="K68" i="32"/>
  <c r="W70" i="32"/>
  <c r="W67" i="32"/>
  <c r="K70" i="32"/>
  <c r="K73" i="32"/>
  <c r="K67" i="32"/>
  <c r="W69" i="32"/>
  <c r="W72" i="32"/>
  <c r="K72" i="32"/>
  <c r="K69" i="32"/>
  <c r="W68" i="32"/>
  <c r="K79" i="32" l="1"/>
  <c r="AB70" i="32"/>
  <c r="O69" i="32"/>
  <c r="W73" i="32"/>
  <c r="W71" i="32"/>
  <c r="AB72" i="32"/>
  <c r="AB71" i="32" l="1"/>
  <c r="O67" i="32"/>
  <c r="AB73" i="32"/>
  <c r="O68" i="32"/>
  <c r="AB69" i="32"/>
  <c r="AB67" i="32" l="1"/>
  <c r="AB68" i="32"/>
  <c r="O79" i="32"/>
  <c r="AB79" i="32" l="1"/>
  <c r="XFD22" i="32" l="1"/>
</calcChain>
</file>

<file path=xl/sharedStrings.xml><?xml version="1.0" encoding="utf-8"?>
<sst xmlns="http://schemas.openxmlformats.org/spreadsheetml/2006/main" count="378" uniqueCount="277">
  <si>
    <t>EntityID</t>
  </si>
  <si>
    <t>EntityName</t>
  </si>
  <si>
    <t>TaxType</t>
  </si>
  <si>
    <t>Year</t>
  </si>
  <si>
    <t>Period</t>
  </si>
  <si>
    <t>Status</t>
  </si>
  <si>
    <t>Jurisdiction</t>
  </si>
  <si>
    <t>Codes</t>
  </si>
  <si>
    <t>Scenario</t>
  </si>
  <si>
    <t>DataCollectionRequestID</t>
  </si>
  <si>
    <t>Adress</t>
  </si>
  <si>
    <t>TemplateName</t>
  </si>
  <si>
    <t>Contact</t>
  </si>
  <si>
    <t>Duedate</t>
  </si>
  <si>
    <t xml:space="preserve">FORMULARIO 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</si>
  <si>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</si>
  <si>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</si>
  <si>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</si>
  <si>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</si>
  <si>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</si>
  <si>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</si>
  <si>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</si>
  <si>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</si>
  <si>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</si>
  <si>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</si>
  <si>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BIMESTRE-1</t>
  </si>
  <si>
    <t>BIMESTRE-2</t>
  </si>
  <si>
    <t>BIMESTRE-3</t>
  </si>
  <si>
    <t>BIMESTRE-4</t>
  </si>
  <si>
    <t>BIMESTRE-5</t>
  </si>
  <si>
    <t>BIMESTRE-6</t>
  </si>
  <si>
    <t>NIT</t>
  </si>
  <si>
    <t>DV</t>
  </si>
  <si>
    <t>IMPUESTO</t>
  </si>
  <si>
    <t>TRIMESTRE-1</t>
  </si>
  <si>
    <t>TRIMESTRE-2</t>
  </si>
  <si>
    <t>TRIMESTRE-3</t>
  </si>
  <si>
    <t>TRIMESTRE-4</t>
  </si>
  <si>
    <t>SEMESTRE-1</t>
  </si>
  <si>
    <t>SEMESTRE-2</t>
  </si>
  <si>
    <t>ANUAL</t>
  </si>
  <si>
    <t>ENERO</t>
  </si>
  <si>
    <t>Total Ene</t>
  </si>
  <si>
    <t>FEBRERO</t>
  </si>
  <si>
    <t>Total Feb</t>
  </si>
  <si>
    <t>Total Mar</t>
  </si>
  <si>
    <t>Total Abr</t>
  </si>
  <si>
    <t>Total MAYO</t>
  </si>
  <si>
    <t>Total JUNIO</t>
  </si>
  <si>
    <t>Total JULIO</t>
  </si>
  <si>
    <t>Total AGOSTO</t>
  </si>
  <si>
    <t>Total Sep</t>
  </si>
  <si>
    <t>Total Oct</t>
  </si>
  <si>
    <t>Total Nov</t>
  </si>
  <si>
    <t>Total Dic</t>
  </si>
  <si>
    <t>AJUSTES</t>
  </si>
  <si>
    <t>Total Ajustes</t>
  </si>
  <si>
    <t>TOTAL</t>
  </si>
  <si>
    <t>Total Bimestre 1</t>
  </si>
  <si>
    <t>Total Bimestre 2</t>
  </si>
  <si>
    <t>Total Bimestre 3</t>
  </si>
  <si>
    <t>Total Bimestre 4</t>
  </si>
  <si>
    <t>Total Bimestre 5</t>
  </si>
  <si>
    <t>Total Bimestre 6</t>
  </si>
  <si>
    <t>Total Trimestre 1</t>
  </si>
  <si>
    <t>Total Trimestre 2</t>
  </si>
  <si>
    <t>Total Trimestre 3</t>
  </si>
  <si>
    <t>Total Trimestre 4</t>
  </si>
  <si>
    <t>Total semestre 1</t>
  </si>
  <si>
    <t>Total semestre 2</t>
  </si>
  <si>
    <t>Total anual</t>
  </si>
  <si>
    <t xml:space="preserve">CALENDARIO </t>
  </si>
  <si>
    <t>11</t>
  </si>
  <si>
    <t>13</t>
  </si>
  <si>
    <t>15</t>
  </si>
  <si>
    <t>17</t>
  </si>
  <si>
    <t>18</t>
  </si>
  <si>
    <t>19</t>
  </si>
  <si>
    <t>20</t>
  </si>
  <si>
    <t>23</t>
  </si>
  <si>
    <t>25</t>
  </si>
  <si>
    <t>27</t>
  </si>
  <si>
    <t>41</t>
  </si>
  <si>
    <t>44</t>
  </si>
  <si>
    <t>47</t>
  </si>
  <si>
    <t>52</t>
  </si>
  <si>
    <t>54</t>
  </si>
  <si>
    <t>68</t>
  </si>
  <si>
    <t>MAGDALENA</t>
  </si>
  <si>
    <t>BOGOTA</t>
  </si>
  <si>
    <t>70</t>
  </si>
  <si>
    <t>CIENAGA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</si>
  <si>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</si>
  <si>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</si>
  <si>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</si>
  <si>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</si>
  <si>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</si>
  <si>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</si>
  <si>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</si>
  <si>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</si>
  <si>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</si>
  <si>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14</t>
  </si>
  <si>
    <t>32</t>
  </si>
  <si>
    <t>33</t>
  </si>
  <si>
    <t>34</t>
  </si>
  <si>
    <t>35</t>
  </si>
  <si>
    <t>36</t>
  </si>
  <si>
    <t>37</t>
  </si>
  <si>
    <t>46</t>
  </si>
  <si>
    <t>48</t>
  </si>
  <si>
    <t>49</t>
  </si>
  <si>
    <t>56</t>
  </si>
  <si>
    <t>57</t>
  </si>
  <si>
    <t>62</t>
  </si>
  <si>
    <t>21</t>
  </si>
  <si>
    <t>22</t>
  </si>
  <si>
    <t>24</t>
  </si>
  <si>
    <t>26</t>
  </si>
  <si>
    <t>28</t>
  </si>
  <si>
    <t>29</t>
  </si>
  <si>
    <t>30</t>
  </si>
  <si>
    <t>39</t>
  </si>
  <si>
    <t>40</t>
  </si>
  <si>
    <t>42</t>
  </si>
  <si>
    <t>43</t>
  </si>
  <si>
    <t>51</t>
  </si>
  <si>
    <t>53</t>
  </si>
  <si>
    <t>60</t>
  </si>
  <si>
    <t>64</t>
  </si>
  <si>
    <t>58</t>
  </si>
  <si>
    <t>61</t>
  </si>
  <si>
    <t>MUNICIPIO O DISTRITO:</t>
  </si>
  <si>
    <t>Fecha máxima presentación</t>
  </si>
  <si>
    <t>DEPARTAMENTO:</t>
  </si>
  <si>
    <t>AÑO GRAVABLE</t>
  </si>
  <si>
    <t xml:space="preserve">OPCIÓN DE USO: </t>
  </si>
  <si>
    <t>DECLARACION INICIAL</t>
  </si>
  <si>
    <t>X</t>
  </si>
  <si>
    <t>SOLO PAGO</t>
  </si>
  <si>
    <t>CORRECION</t>
  </si>
  <si>
    <t>DECLARACION QUE SE CORRIGE No.</t>
  </si>
  <si>
    <t>DE FECHA
dd / mm / aaaa</t>
  </si>
  <si>
    <t>A. INFORMACIÓN DEL CONTRIBUYENTE</t>
  </si>
  <si>
    <t>NOMBRES Y APELLIDOS O RAZÓN SOCIAL</t>
  </si>
  <si>
    <t>CC</t>
  </si>
  <si>
    <t>x</t>
  </si>
  <si>
    <t>TI</t>
  </si>
  <si>
    <t>CE</t>
  </si>
  <si>
    <t>No.</t>
  </si>
  <si>
    <t xml:space="preserve">Es consorcio o Unión Temp. </t>
  </si>
  <si>
    <t>Realiza actividades a través 
de Pat. Aut.</t>
  </si>
  <si>
    <t>DIRECCIÓN DE NOTIFICACIÓN:</t>
  </si>
  <si>
    <t>MUNICIPIO O DISTRITO DE LA DIRECCIÓN</t>
  </si>
  <si>
    <t>DEPARTAMENTO</t>
  </si>
  <si>
    <t>TELÉFONO</t>
  </si>
  <si>
    <t>5.CORREO ELECTRONICO</t>
  </si>
  <si>
    <t>6. No. DE ESTABLECIMIENTOS</t>
  </si>
  <si>
    <t>7. CLASIFICACIÓN</t>
  </si>
  <si>
    <t>REGIMEN COMUN</t>
  </si>
  <si>
    <t>B. BASE GRAVABLE</t>
  </si>
  <si>
    <t>TOTAL INGRESOS ORDINARIOS Y EXTRAORDINARIOS DEL PERIODO EN TODO EL PAÍS</t>
  </si>
  <si>
    <t>MENOS INGRESOS FUERA DE ESTE MUNICIPIO O DISTRITO</t>
  </si>
  <si>
    <t xml:space="preserve">TOTAL INGRESOS ORDINARIOS Y EXTRAORDINARIOS EN ESTE MUNICIPIO </t>
  </si>
  <si>
    <t>MENOS INGRESOS POR DEVOLUCIONES, REBAJAS, DESCUENTOS EN EL MUNICIPIO</t>
  </si>
  <si>
    <t>TOTAL INGRESOS GRAVABLES (RENGLÓN 10 MENOS 11,12,13,14 Y 15)</t>
  </si>
  <si>
    <t>C. DISCRIMINACIÓN DE ACTIVIDADES GRAVADAS</t>
  </si>
  <si>
    <t>ACTIVIDADES GRAVADAS</t>
  </si>
  <si>
    <t>CODIGO</t>
  </si>
  <si>
    <t>INGRESOS GRAVADOS</t>
  </si>
  <si>
    <t>TARIFA (por mil)</t>
  </si>
  <si>
    <t>ACTIVIDAD 1 (PRINCIPAL)</t>
  </si>
  <si>
    <t>ACTIVIDAD 2</t>
  </si>
  <si>
    <t>ACTIVIDAD 3</t>
  </si>
  <si>
    <t>OTRAS ACTIVIDADES</t>
  </si>
  <si>
    <t>VER DESAGREGACIÓN</t>
  </si>
  <si>
    <t>TOTAL INGRESOS GRAVADOS</t>
  </si>
  <si>
    <t>17. TOTAL IMPUESTO</t>
  </si>
  <si>
    <t>D. LIQUIDACIÓN PRIVADA</t>
  </si>
  <si>
    <t xml:space="preserve">TOTAL IMPUESTO DE INDUSTRIA Y COMERCIO (Renglón 17+19)    </t>
  </si>
  <si>
    <t>IMPUESTO DE AVISOS Y TABLEROS (15% del renglón 20)</t>
  </si>
  <si>
    <t>SOBRETASA BOMBERIL  (Ley 1575 de 2012)  ( si hay liquidela según el acuerdo municipal )</t>
  </si>
  <si>
    <t>ANTICIPO DEL AÑO SIGUIENTE  ( Si Existe, líquide porcentaje según Acuerdo )</t>
  </si>
  <si>
    <t xml:space="preserve">SANCIONES: </t>
  </si>
  <si>
    <t>EXTEMPORANEIDAD</t>
  </si>
  <si>
    <t>CORRECCION</t>
  </si>
  <si>
    <t>INEXACTITUD</t>
  </si>
  <si>
    <t>OTRA</t>
  </si>
  <si>
    <t xml:space="preserve">Cuál </t>
  </si>
  <si>
    <t>MENOS SALDO A FAVOR DEL PERIODO ANTERIOR SIN SOLICITUD DE DEVOLUCIÓN O COMPENSACIÓN</t>
  </si>
  <si>
    <t>TOTAL SALDO A CARGO (Renglón 25-26-27-28-29+30+31-32)</t>
  </si>
  <si>
    <t>TOTAL SALDO A FAVOR (Renglón 25-26-27-28-29+30+31-32) si el resultado es menor a cero</t>
  </si>
  <si>
    <t>E. PAGO</t>
  </si>
  <si>
    <t>VALOR A PAGAR</t>
  </si>
  <si>
    <t>DESCUENTO POR PRONTO PAGO  (Si existe, líquidelo según el Acuerdo)</t>
  </si>
  <si>
    <t>INTERESES DE MORA</t>
  </si>
  <si>
    <t>TOTAL A PAGAR (Renglón 35-36+37)</t>
  </si>
  <si>
    <t>SECCIÓN PAGO VOLUNTARIO</t>
  </si>
  <si>
    <t>LIQUIDE EL VALOR DEL PAGO VOLUNTARIO (Según instrucciones del Municipio/distrito)</t>
  </si>
  <si>
    <t>TOTAL A PAGAR CON PAGO VOLUNTARIO (Renglón 38+39)</t>
  </si>
  <si>
    <t>Destino de mi aporte voluntario:</t>
  </si>
  <si>
    <t>F. FIRMAS</t>
  </si>
  <si>
    <t>FIRMA DEL DECLARANTE</t>
  </si>
  <si>
    <t xml:space="preserve">FIRMA DEL CONTADOR </t>
  </si>
  <si>
    <t>REVISOR FISCAL</t>
  </si>
  <si>
    <t>NOMBRE</t>
  </si>
  <si>
    <t>No._______________________________</t>
  </si>
  <si>
    <t>ESPACIO PARA CÓDIGO DE BARRAS</t>
  </si>
  <si>
    <t xml:space="preserve">RADICADO Y/O FECHA DE PRESENTACIÓN </t>
  </si>
  <si>
    <t>ESPACIO PARA CÓDIGO QR</t>
  </si>
  <si>
    <t xml:space="preserve">ESPACIO PARA SELLO O TIMBRE </t>
  </si>
  <si>
    <t>ESPACIO PARA SERIAL AUTOMATICO DE TRANSACCIÓN O MECANISMO DE IDENTIFICACIÓN DE RECAUDO</t>
  </si>
  <si>
    <t>C. DISCRIMINACIÓN DE ACTIVIDADES GRAVADAS (OTRAS ACTIVIDADES)</t>
  </si>
  <si>
    <t>ACTIVIDAD 4</t>
  </si>
  <si>
    <t>ACTIVIDAD 5</t>
  </si>
  <si>
    <t>ACTIVIDAD 6</t>
  </si>
  <si>
    <t>ACTIVIDAD 7</t>
  </si>
  <si>
    <t>ACTIVIDAD 8</t>
  </si>
  <si>
    <t>ACTIVIDAD 9</t>
  </si>
  <si>
    <t>ACTIVIDAD 10</t>
  </si>
  <si>
    <t>ACTIVIDAD 11</t>
  </si>
  <si>
    <t>ACTIVIDAD 12</t>
  </si>
  <si>
    <t>ACTIVIDAD 13</t>
  </si>
  <si>
    <t>ACTIVIDAD 14</t>
  </si>
  <si>
    <t>ACTIVIDAD 15</t>
  </si>
  <si>
    <r>
      <rPr>
        <sz val="7"/>
        <color indexed="8"/>
        <rFont val="Arial Unicode MS"/>
        <family val="2"/>
      </rPr>
      <t xml:space="preserve">SOLAMENTE PARA BOGOTÁ, marque el Bimestre o periodo anual  </t>
    </r>
    <r>
      <rPr>
        <sz val="6"/>
        <color indexed="8"/>
        <rFont val="Arial Unicode MS"/>
        <family val="2"/>
      </rPr>
      <t xml:space="preserve">      </t>
    </r>
  </si>
  <si>
    <t>ENE- FEB</t>
  </si>
  <si>
    <t>MAR - ABR</t>
  </si>
  <si>
    <t>MAY- JUN</t>
  </si>
  <si>
    <t>JUL - AGO</t>
  </si>
  <si>
    <t>SEP -OCT</t>
  </si>
  <si>
    <t>NOV - DIC</t>
  </si>
  <si>
    <t>MENOS INGRESOS POR EXPORTACIONES</t>
  </si>
  <si>
    <t>MENOS INGRESOS POR VENTA DE ACTIVOS FIJOS</t>
  </si>
  <si>
    <t>MENOS INGRESOS POR ACTIVIDADES EXCLUIDAS O NO SUJETAS Y OTROS INGRESOS NO GRAVADOS</t>
  </si>
  <si>
    <t>MENOS INGRESOS POR OTRAS ACTIVIDADES EXENTAS EN ESTE MUNICIPIO (POR ACUERDO)</t>
  </si>
  <si>
    <t>GENERACIÓN DE ENERGIA</t>
  </si>
  <si>
    <t xml:space="preserve">      CAPACIDAD INSTALADA</t>
  </si>
  <si>
    <t>KW</t>
  </si>
  <si>
    <t>19. IMP LEY 56 DE 1981</t>
  </si>
  <si>
    <t>SOBRETASA DE SEGURIDAD (LEY 1421 DE 2011) (Si la hay, liquidela según el acuerdo municpal o distrital)</t>
  </si>
  <si>
    <t>PAGO POR UNIDADES COMERCIALES ADICIONALES DEL SECTOR FINANCIERO</t>
  </si>
  <si>
    <t>TOTAL IMPUESTO A CARGO</t>
  </si>
  <si>
    <t>MENOS VALOR DE EXENCION O EXONERACON SOBRE EL IMPUESTO Y NO SOBRE EL INGRESO</t>
  </si>
  <si>
    <t>MENOS RETENCIONES QUE LE PRACTICARON A FAVOR DE ESTE MUNICIPIO O DISTRITO EN ESTE PERIODO</t>
  </si>
  <si>
    <t>MENOS AUTORRETENCIONES PRACTICAS A FAVOR DE ESTE MUNICPIO O DISTRITO EN ESTE PERIODO</t>
  </si>
  <si>
    <t>MENOS ANTICIPIO LIQUIDADO AÑO ANTERIOIR</t>
  </si>
  <si>
    <t xml:space="preserve">No. </t>
  </si>
  <si>
    <t>TP. _</t>
  </si>
  <si>
    <t>JORGE ANDRES TABARES ANGEL</t>
  </si>
  <si>
    <t>DATOS GENERALES COMPAÑÍA</t>
  </si>
  <si>
    <t>CUATRIMESTRE-1</t>
  </si>
  <si>
    <t>CUATRIMESTRE-2</t>
  </si>
  <si>
    <t>CUATRIMESTRE-3</t>
  </si>
  <si>
    <t>65</t>
  </si>
  <si>
    <t>67</t>
  </si>
  <si>
    <t>72</t>
  </si>
  <si>
    <t>Total Cuatrimestre 1</t>
  </si>
  <si>
    <t>Total Cuatrimestre 2</t>
  </si>
  <si>
    <t>Total Cuatrimestre 3</t>
  </si>
  <si>
    <t>CR 9 N 73 44 P 6 (BOGOTÁ D.C.)</t>
  </si>
  <si>
    <t>impuestos@geb.com.co</t>
  </si>
  <si>
    <t xml:space="preserve"> </t>
  </si>
  <si>
    <t>CLAUDIA MARCELA CONTRERAS RIAÑO</t>
  </si>
  <si>
    <t>149609 -T</t>
  </si>
  <si>
    <t>note_type_id</t>
  </si>
  <si>
    <t>note_type_name</t>
  </si>
  <si>
    <t>General</t>
  </si>
  <si>
    <t>Internal</t>
  </si>
  <si>
    <t>Edit</t>
  </si>
  <si>
    <t>GRUPO ENERGIA BOGOTÄ SA ESP</t>
  </si>
  <si>
    <t>AUTOICA</t>
  </si>
  <si>
    <t>AUTOICAGEB2025</t>
  </si>
  <si>
    <t>CIENAGA-MAGDALENA-47189</t>
  </si>
  <si>
    <t/>
  </si>
  <si>
    <t>FORMULARIO UNICO NACIONAL MUNICIPIO - CIENAGA - MAGDALENA</t>
  </si>
  <si>
    <t>9 / 1000</t>
  </si>
  <si>
    <t>7 /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</si>
</sst>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9" formatCode="dd/mm/yyyy;@"/>
    <numFmt numFmtId="170" formatCode="_(* #,##0_);_(* \(#,##0\);_(* &quot;-&quot;??_);_(@_)"/>
    <numFmt numFmtId="171" formatCode="0.0"/>
    <numFmt numFmtId="174" formatCode="_ &quot;$&quot;\ * #,##0.00_ ;_ &quot;$&quot;\ * \-#,##0.00_ ;_ &quot;$&quot;\ * &quot;-&quot;??_ ;_ @_ "/>
    <numFmt numFmtId="177" formatCode="_ * #,##0.00_ ;_ * \-#,##0.00_ ;_ * &quot;-&quot;??_ ;_ @_ "/>
    <numFmt numFmtId="179" formatCode="_-* #,##0.00\ _€_-;\-* #,##0.00\ _€_-;_-* &quot;-&quot;??\ _€_-;_-@_-"/>
  </numFmts>
  <fonts count="3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rgb="FF0563C1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theme="1"/>
      <name val="Arial Unicode MS"/>
      <family val="2"/>
    </font>
    <font>
      <b/>
      <sz val="10"/>
      <color theme="1"/>
      <name val="Arial Unicode MS"/>
      <family val="2"/>
    </font>
    <font>
      <sz val="6"/>
      <color theme="1"/>
      <name val="Arial Unicode MS"/>
      <family val="2"/>
    </font>
    <font>
      <sz val="11"/>
      <name val="Arial Unicode MS"/>
      <family val="2"/>
    </font>
    <font>
      <sz val="8"/>
      <color theme="1"/>
      <name val="Arial Unicode MS"/>
      <family val="2"/>
    </font>
    <font>
      <b/>
      <sz val="12"/>
      <name val="Arial Unicode MS"/>
      <family val="2"/>
    </font>
    <font>
      <sz val="12"/>
      <color theme="1"/>
      <name val="Arial Unicode MS"/>
      <family val="2"/>
    </font>
    <font>
      <sz val="7"/>
      <color indexed="8"/>
      <name val="Arial Unicode MS"/>
      <family val="2"/>
    </font>
    <font>
      <sz val="6"/>
      <color indexed="8"/>
      <name val="Arial Unicode MS"/>
      <family val="2"/>
    </font>
    <font>
      <b/>
      <sz val="8"/>
      <color theme="1"/>
      <name val="Arial Unicode MS"/>
      <family val="2"/>
    </font>
    <font>
      <sz val="6.5"/>
      <color theme="1"/>
      <name val="Arial Unicode MS"/>
      <family val="2"/>
    </font>
    <font>
      <sz val="10"/>
      <color theme="1"/>
      <name val="Arial Unicode MS"/>
      <family val="2"/>
    </font>
    <font>
      <b/>
      <sz val="7"/>
      <color theme="1"/>
      <name val="Arial Unicode MS"/>
      <family val="2"/>
    </font>
    <font>
      <b/>
      <sz val="6"/>
      <color theme="1"/>
      <name val="Arial Unicode MS"/>
      <family val="2"/>
    </font>
    <font>
      <b/>
      <sz val="11"/>
      <color theme="1"/>
      <name val="Arial Unicode MS"/>
      <family val="2"/>
    </font>
    <font>
      <sz val="9"/>
      <name val="Arial Unicode MS"/>
      <family val="2"/>
    </font>
    <font>
      <sz val="11"/>
      <color rgb="FF0070C0"/>
      <name val="Arial Unicode MS"/>
      <family val="2"/>
    </font>
    <font>
      <sz val="11"/>
      <name val="Calibri"/>
      <family val="2"/>
    </font>
    <font>
      <sz val="10"/>
      <name val="Arial Unicode MS"/>
      <family val="2"/>
    </font>
    <font>
      <b/>
      <sz val="10"/>
      <name val="Arial Unicode MS"/>
      <family val="2"/>
    </font>
    <font>
      <sz val="7"/>
      <name val="Arial Unicode MS"/>
      <family val="2"/>
    </font>
    <font>
      <sz val="7"/>
      <color theme="0" tint="-0.49992370372631001"/>
      <name val="Arial Unicode MS"/>
      <family val="2"/>
    </font>
    <font>
      <sz val="7"/>
      <color theme="0" tint="-0.3499252296517838"/>
      <name val="Arial Unicode MS"/>
      <family val="2"/>
    </font>
    <font>
      <sz val="9"/>
      <name val="Arial"/>
      <family val="2"/>
    </font>
    <font>
      <sz val="4"/>
      <color theme="1"/>
      <name val="Arial Unicode MS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2828150273141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0.14981536301767021"/>
        <bgColor indexed="64"/>
      </patternFill>
    </fill>
  </fills>
  <borders count="47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45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 applyNumberFormat="0" applyFill="0" applyBorder="0">
      <protection locked="0"/>
    </xf>
    <xf numFmtId="167" fontId="38" fillId="0" borderId="0" applyFont="0" applyFill="0" applyBorder="0" applyAlignment="0" applyProtection="0"/>
    <xf numFmtId="0" fontId="3" fillId="0" borderId="0"/>
    <xf numFmtId="0" fontId="3" fillId="0" borderId="0"/>
    <xf numFmtId="0" fontId="38" fillId="0" borderId="0"/>
    <xf numFmtId="166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8" fillId="0" borderId="0" applyNumberFormat="0" applyFill="0" applyBorder="0" applyAlignment="0" applyProtection="0"/>
    <xf numFmtId="167" fontId="38" fillId="0" borderId="0" applyFont="0" applyFill="0" applyBorder="0" applyAlignment="0" applyProtection="0"/>
    <xf numFmtId="174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79" fontId="38" fillId="0" borderId="0" applyFont="0" applyFill="0" applyBorder="0" applyAlignment="0" applyProtection="0"/>
    <xf numFmtId="0" fontId="35" fillId="0" borderId="0"/>
    <xf numFmtId="165" fontId="35" fillId="0" borderId="0" applyFont="0" applyFill="0" applyBorder="0" applyAlignment="0" applyProtection="0"/>
    <xf numFmtId="0" fontId="3" fillId="0" borderId="0"/>
    <xf numFmtId="0" fontId="3" fillId="0" borderId="0"/>
    <xf numFmtId="177" fontId="3" fillId="0" borderId="0" applyFont="0" applyFill="0" applyBorder="0" applyAlignment="0" applyProtection="0"/>
    <xf numFmtId="0" fontId="3" fillId="0" borderId="0"/>
    <xf numFmtId="0" fontId="36" fillId="0" borderId="0"/>
    <xf numFmtId="0" fontId="38" fillId="0" borderId="0"/>
    <xf numFmtId="0" fontId="38" fillId="0" borderId="0"/>
    <xf numFmtId="166" fontId="38" fillId="0" borderId="0" applyFont="0" applyFill="0" applyBorder="0" applyAlignment="0" applyProtection="0"/>
    <xf numFmtId="165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165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165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" fillId="0" borderId="0"/>
    <xf numFmtId="43" fontId="3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8" fillId="0" borderId="0"/>
    <xf numFmtId="44" fontId="38" fillId="0" borderId="0" applyFont="0" applyFill="0" applyBorder="0" applyAlignment="0" applyProtection="0"/>
    <xf numFmtId="0" fontId="8" fillId="0" borderId="0" applyNumberFormat="0" applyFill="0" applyBorder="0" applyAlignment="0" applyProtection="0"/>
    <xf numFmtId="43" fontId="38" fillId="0" borderId="0" applyFont="0" applyFill="0" applyBorder="0" applyAlignment="0" applyProtection="0"/>
    <xf numFmtId="174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2" fontId="38" fillId="0" borderId="0" applyFont="0" applyFill="0" applyBorder="0" applyAlignment="0" applyProtection="0"/>
    <xf numFmtId="0" fontId="35" fillId="0" borderId="0"/>
    <xf numFmtId="41" fontId="35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8" fillId="0" borderId="0"/>
    <xf numFmtId="44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4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4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4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8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8" fillId="0" borderId="0" applyFont="0" applyFill="0" applyBorder="0" applyAlignment="0" applyProtection="0"/>
    <xf numFmtId="44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5" fillId="0" borderId="0" applyFont="0" applyFill="0" applyBorder="0" applyAlignment="0" applyProtection="0"/>
    <xf numFmtId="44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4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4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4" fontId="3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8" fillId="0" borderId="0" applyFont="0" applyFill="0" applyBorder="0" applyAlignment="0" applyProtection="0"/>
  </cellStyleXfs>
  <cellXfs count="314">
    <xf numFmtId="0" fontId="0" fillId="0" borderId="0" xfId="0"/>
    <xf numFmtId="0" fontId="0" fillId="2" borderId="0" xfId="0" applyFill="1"/>
    <xf numFmtId="0" fontId="5" fillId="0" borderId="0" xfId="0" applyFont="1"/>
    <xf numFmtId="0" fontId="0" fillId="0" borderId="8" xfId="0" applyBorder="1"/>
    <xf numFmtId="0" fontId="4" fillId="0" borderId="9" xfId="0" applyFont="1" applyBorder="1"/>
    <xf numFmtId="0" fontId="4" fillId="0" borderId="10" xfId="0" applyFont="1" applyBorder="1"/>
    <xf numFmtId="0" fontId="4" fillId="3" borderId="11" xfId="0" applyFont="1" applyFill="1" applyBorder="1"/>
    <xf numFmtId="49" fontId="4" fillId="3" borderId="9" xfId="0" applyNumberFormat="1" applyFont="1" applyFill="1" applyBorder="1"/>
    <xf numFmtId="0" fontId="4" fillId="3" borderId="12" xfId="0" applyFont="1" applyFill="1" applyBorder="1"/>
    <xf numFmtId="49" fontId="4" fillId="3" borderId="10" xfId="0" applyNumberFormat="1" applyFont="1" applyFill="1" applyBorder="1"/>
    <xf numFmtId="0" fontId="4" fillId="3" borderId="13" xfId="0" applyFont="1" applyFill="1" applyBorder="1"/>
    <xf numFmtId="49" fontId="4" fillId="3" borderId="14" xfId="0" applyNumberFormat="1" applyFont="1" applyFill="1" applyBorder="1"/>
    <xf numFmtId="0" fontId="9" fillId="0" borderId="0" xfId="0" applyFont="1"/>
    <xf numFmtId="0" fontId="9" fillId="0" borderId="15" xfId="0" applyFont="1" applyBorder="1" applyAlignment="1" applyProtection="1">
      <alignment vertical="center"/>
      <protection hidden="1"/>
    </xf>
    <xf numFmtId="0" fontId="9" fillId="0" borderId="0" xfId="0" applyFont="1" applyProtection="1">
      <protection hidden="1"/>
    </xf>
    <xf numFmtId="0" fontId="21" fillId="0" borderId="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vertical="center"/>
      <protection hidden="1"/>
    </xf>
    <xf numFmtId="0" fontId="9" fillId="0" borderId="15" xfId="0" applyFont="1" applyBorder="1" applyProtection="1">
      <protection hidden="1"/>
    </xf>
    <xf numFmtId="0" fontId="9" fillId="0" borderId="16" xfId="0" applyFont="1" applyBorder="1" applyProtection="1">
      <protection hidden="1"/>
    </xf>
    <xf numFmtId="0" fontId="9" fillId="0" borderId="17" xfId="0" applyFont="1" applyBorder="1" applyProtection="1">
      <protection hidden="1"/>
    </xf>
    <xf numFmtId="0" fontId="9" fillId="0" borderId="17" xfId="0" applyFont="1" applyBorder="1" applyAlignment="1" applyProtection="1">
      <alignment vertical="center"/>
      <protection hidden="1"/>
    </xf>
    <xf numFmtId="0" fontId="34" fillId="4" borderId="0" xfId="0" applyFont="1" applyFill="1"/>
    <xf numFmtId="0" fontId="0" fillId="0" borderId="0" xfId="0" applyProtection="1">
      <protection hidden="1"/>
    </xf>
    <xf numFmtId="0" fontId="0" fillId="5" borderId="0" xfId="0" applyFill="1"/>
    <xf numFmtId="0" fontId="15" fillId="0" borderId="0" xfId="0" applyFont="1" applyAlignment="1" applyProtection="1">
      <alignment vertical="top"/>
      <protection hidden="1"/>
    </xf>
    <xf numFmtId="0" fontId="33" fillId="0" borderId="5" xfId="0" applyFont="1" applyBorder="1" applyAlignment="1" applyProtection="1">
      <alignment vertical="center"/>
      <protection hidden="1"/>
    </xf>
    <xf numFmtId="0" fontId="33" fillId="0" borderId="20" xfId="0" applyFont="1" applyBorder="1" applyAlignment="1" applyProtection="1">
      <alignment vertical="center"/>
      <protection hidden="1"/>
    </xf>
    <xf numFmtId="0" fontId="11" fillId="0" borderId="0" xfId="0" applyFont="1" applyAlignment="1" applyProtection="1">
      <alignment vertical="top"/>
      <protection hidden="1"/>
    </xf>
    <xf numFmtId="0" fontId="11" fillId="0" borderId="0" xfId="0" applyFont="1" applyAlignment="1" applyProtection="1">
      <alignment vertical="center"/>
      <protection hidden="1"/>
    </xf>
    <xf numFmtId="0" fontId="11" fillId="0" borderId="5" xfId="0" applyFont="1" applyBorder="1" applyAlignment="1" applyProtection="1">
      <alignment vertical="center"/>
      <protection hidden="1"/>
    </xf>
    <xf numFmtId="0" fontId="22" fillId="0" borderId="20" xfId="0" applyFont="1" applyBorder="1" applyAlignment="1" applyProtection="1">
      <alignment vertical="center"/>
      <protection hidden="1"/>
    </xf>
    <xf numFmtId="0" fontId="9" fillId="0" borderId="5" xfId="0" applyFont="1" applyBorder="1" applyAlignment="1" applyProtection="1">
      <alignment vertical="center"/>
      <protection hidden="1"/>
    </xf>
    <xf numFmtId="0" fontId="22" fillId="0" borderId="5" xfId="0" applyFont="1" applyBorder="1" applyAlignment="1" applyProtection="1">
      <alignment horizontal="center" vertical="center"/>
      <protection hidden="1"/>
    </xf>
    <xf numFmtId="0" fontId="11" fillId="0" borderId="16" xfId="0" applyFont="1" applyBorder="1" applyAlignment="1" applyProtection="1">
      <alignment vertical="center"/>
      <protection hidden="1"/>
    </xf>
    <xf numFmtId="0" fontId="11" fillId="0" borderId="15" xfId="0" applyFont="1" applyBorder="1" applyAlignment="1" applyProtection="1">
      <alignment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23" fillId="6" borderId="5" xfId="0" applyFont="1" applyFill="1" applyBorder="1" applyAlignment="1" applyProtection="1">
      <alignment horizontal="center" vertical="center"/>
      <protection hidden="1"/>
    </xf>
    <xf numFmtId="0" fontId="21" fillId="0" borderId="21" xfId="0" applyFont="1" applyBorder="1" applyAlignment="1" applyProtection="1">
      <alignment horizontal="center" vertical="center"/>
      <protection hidden="1"/>
    </xf>
    <xf numFmtId="0" fontId="21" fillId="0" borderId="22" xfId="0" applyFont="1" applyBorder="1" applyAlignment="1" applyProtection="1">
      <alignment horizontal="center" vertical="center"/>
      <protection hidden="1"/>
    </xf>
    <xf numFmtId="0" fontId="18" fillId="0" borderId="16" xfId="0" applyFont="1" applyBorder="1" applyAlignment="1" applyProtection="1">
      <alignment vertical="center"/>
      <protection hidden="1"/>
    </xf>
    <xf numFmtId="0" fontId="18" fillId="0" borderId="15" xfId="0" applyFont="1" applyBorder="1" applyAlignment="1" applyProtection="1">
      <alignment vertical="center"/>
      <protection hidden="1"/>
    </xf>
    <xf numFmtId="0" fontId="18" fillId="0" borderId="17" xfId="0" applyFont="1" applyBorder="1" applyAlignment="1" applyProtection="1">
      <alignment vertical="center"/>
      <protection hidden="1"/>
    </xf>
    <xf numFmtId="0" fontId="11" fillId="0" borderId="17" xfId="0" applyFont="1" applyBorder="1" applyAlignment="1" applyProtection="1">
      <alignment vertical="center"/>
      <protection hidden="1"/>
    </xf>
    <xf numFmtId="0" fontId="9" fillId="6" borderId="21" xfId="0" applyFont="1" applyFill="1" applyBorder="1" applyAlignment="1" applyProtection="1">
      <alignment horizontal="center"/>
      <protection hidden="1"/>
    </xf>
    <xf numFmtId="0" fontId="9" fillId="0" borderId="23" xfId="0" applyFont="1" applyBorder="1" applyProtection="1">
      <protection hidden="1"/>
    </xf>
    <xf numFmtId="0" fontId="15" fillId="6" borderId="5" xfId="0" applyFont="1" applyFill="1" applyBorder="1" applyAlignment="1" applyProtection="1">
      <alignment horizontal="center" vertical="center"/>
      <protection hidden="1"/>
    </xf>
    <xf numFmtId="0" fontId="21" fillId="0" borderId="6" xfId="0" applyFont="1" applyBorder="1" applyAlignment="1" applyProtection="1">
      <alignment horizontal="center" vertical="center" textRotation="90" wrapText="1"/>
      <protection hidden="1"/>
    </xf>
    <xf numFmtId="0" fontId="21" fillId="0" borderId="0" xfId="0" applyFont="1" applyAlignment="1" applyProtection="1">
      <alignment horizontal="center" vertical="center" textRotation="90" wrapText="1"/>
      <protection hidden="1"/>
    </xf>
    <xf numFmtId="0" fontId="9" fillId="0" borderId="24" xfId="0" applyFont="1" applyBorder="1" applyAlignment="1" applyProtection="1">
      <alignment horizontal="center" vertical="center"/>
      <protection hidden="1"/>
    </xf>
    <xf numFmtId="0" fontId="15" fillId="0" borderId="24" xfId="0" applyFont="1" applyBorder="1" applyAlignment="1" applyProtection="1">
      <alignment horizontal="center" vertical="center"/>
      <protection hidden="1"/>
    </xf>
    <xf numFmtId="0" fontId="32" fillId="7" borderId="18" xfId="0" applyFont="1" applyFill="1" applyBorder="1" applyAlignment="1" applyProtection="1">
      <alignment vertical="top"/>
      <protection hidden="1"/>
    </xf>
    <xf numFmtId="0" fontId="32" fillId="7" borderId="19" xfId="0" applyFont="1" applyFill="1" applyBorder="1" applyAlignment="1" applyProtection="1">
      <alignment vertical="top"/>
      <protection hidden="1"/>
    </xf>
    <xf numFmtId="0" fontId="32" fillId="7" borderId="1" xfId="0" applyFont="1" applyFill="1" applyBorder="1" applyAlignment="1" applyProtection="1">
      <alignment vertical="top"/>
      <protection hidden="1"/>
    </xf>
    <xf numFmtId="0" fontId="4" fillId="0" borderId="0" xfId="0" applyFont="1" applyProtection="1">
      <protection hidden="1"/>
    </xf>
    <xf numFmtId="0" fontId="18" fillId="0" borderId="5" xfId="0" applyFont="1" applyBorder="1" applyAlignment="1" applyProtection="1">
      <alignment horizontal="center" vertical="center"/>
      <protection hidden="1"/>
    </xf>
    <xf numFmtId="0" fontId="10" fillId="0" borderId="5" xfId="0" applyFont="1" applyBorder="1" applyAlignment="1" applyProtection="1">
      <alignment horizontal="center" vertical="center"/>
      <protection hidden="1"/>
    </xf>
    <xf numFmtId="0" fontId="19" fillId="0" borderId="5" xfId="0" applyFont="1" applyBorder="1" applyAlignment="1" applyProtection="1">
      <alignment vertical="center"/>
      <protection hidden="1"/>
    </xf>
    <xf numFmtId="169" fontId="20" fillId="0" borderId="27" xfId="0" applyNumberFormat="1" applyFont="1" applyBorder="1" applyAlignment="1" applyProtection="1">
      <alignment vertical="center"/>
      <protection hidden="1"/>
    </xf>
    <xf numFmtId="169" fontId="20" fillId="0" borderId="28" xfId="0" applyNumberFormat="1" applyFont="1" applyBorder="1" applyAlignment="1" applyProtection="1">
      <alignment vertical="center"/>
      <protection hidden="1"/>
    </xf>
    <xf numFmtId="169" fontId="20" fillId="0" borderId="26" xfId="0" applyNumberFormat="1" applyFont="1" applyBorder="1" applyAlignment="1" applyProtection="1">
      <alignment vertical="center"/>
      <protection hidden="1"/>
    </xf>
    <xf numFmtId="0" fontId="11" fillId="0" borderId="15" xfId="0" applyFont="1" applyBorder="1" applyAlignment="1" applyProtection="1">
      <alignment vertical="top"/>
      <protection hidden="1"/>
    </xf>
    <xf numFmtId="0" fontId="23" fillId="0" borderId="5" xfId="0" applyFont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3" fontId="24" fillId="0" borderId="15" xfId="0" applyNumberFormat="1" applyFont="1" applyBorder="1" applyAlignment="1" applyProtection="1">
      <alignment vertical="center"/>
      <protection hidden="1"/>
    </xf>
    <xf numFmtId="0" fontId="21" fillId="0" borderId="15" xfId="0" applyFont="1" applyBorder="1" applyAlignment="1" applyProtection="1">
      <alignment horizontal="center" vertical="center"/>
      <protection hidden="1"/>
    </xf>
    <xf numFmtId="0" fontId="12" fillId="0" borderId="5" xfId="0" applyFont="1" applyBorder="1" applyAlignment="1" applyProtection="1">
      <alignment horizontal="center" vertical="center"/>
      <protection hidden="1"/>
    </xf>
    <xf numFmtId="0" fontId="23" fillId="0" borderId="20" xfId="0" applyFont="1" applyBorder="1" applyAlignment="1" applyProtection="1">
      <alignment horizontal="center" vertical="center"/>
      <protection hidden="1"/>
    </xf>
    <xf numFmtId="0" fontId="9" fillId="0" borderId="27" xfId="0" applyFont="1" applyBorder="1" applyAlignment="1" applyProtection="1">
      <alignment vertical="center"/>
      <protection hidden="1"/>
    </xf>
    <xf numFmtId="0" fontId="9" fillId="0" borderId="28" xfId="0" applyFont="1" applyBorder="1" applyAlignment="1" applyProtection="1">
      <alignment vertical="center"/>
      <protection hidden="1"/>
    </xf>
    <xf numFmtId="0" fontId="9" fillId="0" borderId="15" xfId="0" applyFont="1" applyBorder="1" applyAlignment="1" applyProtection="1">
      <alignment vertical="top"/>
      <protection hidden="1"/>
    </xf>
    <xf numFmtId="0" fontId="25" fillId="0" borderId="15" xfId="0" applyFont="1" applyBorder="1" applyAlignment="1" applyProtection="1">
      <alignment vertical="center"/>
      <protection hidden="1"/>
    </xf>
    <xf numFmtId="0" fontId="12" fillId="0" borderId="15" xfId="0" applyFont="1" applyBorder="1" applyAlignment="1" applyProtection="1">
      <alignment vertical="center"/>
      <protection hidden="1"/>
    </xf>
    <xf numFmtId="0" fontId="12" fillId="0" borderId="17" xfId="0" applyFont="1" applyBorder="1" applyAlignment="1" applyProtection="1">
      <alignment vertical="center"/>
      <protection hidden="1"/>
    </xf>
    <xf numFmtId="0" fontId="12" fillId="0" borderId="10" xfId="0" applyFont="1" applyBorder="1" applyAlignment="1" applyProtection="1">
      <alignment vertical="center"/>
      <protection hidden="1"/>
    </xf>
    <xf numFmtId="0" fontId="9" fillId="0" borderId="16" xfId="0" applyFont="1" applyBorder="1" applyAlignment="1" applyProtection="1">
      <alignment vertical="top"/>
      <protection hidden="1"/>
    </xf>
    <xf numFmtId="0" fontId="20" fillId="0" borderId="15" xfId="0" applyFont="1" applyBorder="1" applyAlignment="1" applyProtection="1">
      <alignment vertical="center"/>
      <protection hidden="1"/>
    </xf>
    <xf numFmtId="0" fontId="20" fillId="0" borderId="17" xfId="0" applyFont="1" applyBorder="1" applyAlignment="1" applyProtection="1">
      <alignment vertical="center"/>
      <protection hidden="1"/>
    </xf>
    <xf numFmtId="0" fontId="9" fillId="0" borderId="29" xfId="0" applyFont="1" applyBorder="1" applyAlignment="1" applyProtection="1">
      <alignment vertical="top"/>
      <protection hidden="1"/>
    </xf>
    <xf numFmtId="0" fontId="9" fillId="0" borderId="24" xfId="0" applyFont="1" applyBorder="1" applyAlignment="1" applyProtection="1">
      <alignment vertical="top"/>
      <protection hidden="1"/>
    </xf>
    <xf numFmtId="0" fontId="9" fillId="0" borderId="30" xfId="0" applyFont="1" applyBorder="1" applyAlignment="1" applyProtection="1">
      <alignment vertical="top"/>
      <protection hidden="1"/>
    </xf>
    <xf numFmtId="0" fontId="9" fillId="0" borderId="17" xfId="0" applyFont="1" applyBorder="1" applyAlignment="1" applyProtection="1">
      <alignment vertical="top"/>
      <protection hidden="1"/>
    </xf>
    <xf numFmtId="0" fontId="9" fillId="0" borderId="10" xfId="0" applyFont="1" applyBorder="1" applyAlignment="1" applyProtection="1">
      <alignment vertical="top"/>
      <protection hidden="1"/>
    </xf>
    <xf numFmtId="0" fontId="8" fillId="0" borderId="16" xfId="13" applyFill="1" applyBorder="1" applyAlignment="1" applyProtection="1">
      <alignment vertical="center"/>
      <protection hidden="1"/>
    </xf>
    <xf numFmtId="0" fontId="26" fillId="0" borderId="15" xfId="6" applyFont="1" applyFill="1" applyBorder="1" applyAlignment="1" applyProtection="1">
      <alignment vertical="center"/>
      <protection hidden="1"/>
    </xf>
    <xf numFmtId="0" fontId="26" fillId="0" borderId="17" xfId="6" applyFont="1" applyFill="1" applyBorder="1" applyAlignment="1" applyProtection="1">
      <alignment vertical="center"/>
      <protection hidden="1"/>
    </xf>
    <xf numFmtId="0" fontId="24" fillId="0" borderId="16" xfId="0" applyFont="1" applyBorder="1" applyAlignment="1" applyProtection="1">
      <alignment vertical="center"/>
      <protection hidden="1"/>
    </xf>
    <xf numFmtId="0" fontId="24" fillId="0" borderId="15" xfId="0" applyFont="1" applyBorder="1" applyAlignment="1" applyProtection="1">
      <alignment vertical="center"/>
      <protection hidden="1"/>
    </xf>
    <xf numFmtId="0" fontId="24" fillId="0" borderId="10" xfId="0" applyFont="1" applyBorder="1" applyAlignment="1" applyProtection="1">
      <alignment vertical="center"/>
      <protection hidden="1"/>
    </xf>
    <xf numFmtId="0" fontId="15" fillId="0" borderId="5" xfId="0" applyFont="1" applyBorder="1" applyAlignment="1" applyProtection="1">
      <alignment horizontal="center" vertical="center"/>
      <protection hidden="1"/>
    </xf>
    <xf numFmtId="3" fontId="7" fillId="0" borderId="10" xfId="8" applyNumberFormat="1" applyFont="1" applyBorder="1" applyAlignment="1" applyProtection="1">
      <alignment horizontal="center" vertical="center"/>
      <protection hidden="1"/>
    </xf>
    <xf numFmtId="0" fontId="9" fillId="0" borderId="30" xfId="0" applyFont="1" applyBorder="1" applyAlignment="1" applyProtection="1">
      <alignment horizontal="center" vertical="center"/>
      <protection hidden="1"/>
    </xf>
    <xf numFmtId="0" fontId="9" fillId="0" borderId="29" xfId="0" applyFont="1" applyBorder="1" applyAlignment="1" applyProtection="1">
      <alignment horizontal="center" vertical="center"/>
      <protection hidden="1"/>
    </xf>
    <xf numFmtId="3" fontId="0" fillId="0" borderId="0" xfId="0" applyNumberFormat="1" applyProtection="1">
      <protection hidden="1"/>
    </xf>
    <xf numFmtId="0" fontId="6" fillId="8" borderId="0" xfId="0" applyFont="1" applyFill="1" applyAlignment="1" applyProtection="1">
      <alignment horizontal="left"/>
      <protection locked="0"/>
    </xf>
    <xf numFmtId="0" fontId="6" fillId="8" borderId="0" xfId="0" applyFont="1" applyFill="1" applyProtection="1">
      <protection locked="0"/>
    </xf>
    <xf numFmtId="0" fontId="4" fillId="0" borderId="0" xfId="0" applyFont="1" applyAlignment="1" applyProtection="1">
      <alignment wrapText="1"/>
      <protection hidden="1"/>
    </xf>
    <xf numFmtId="0" fontId="0" fillId="9" borderId="0" xfId="0" applyFill="1"/>
    <xf numFmtId="0" fontId="34" fillId="9" borderId="0" xfId="0" applyFont="1" applyFill="1"/>
    <xf numFmtId="0" fontId="5" fillId="9" borderId="0" xfId="0" applyFont="1" applyFill="1"/>
    <xf numFmtId="0" fontId="0" fillId="0" borderId="8" xfId="0" applyBorder="1" applyAlignment="1">
      <alignment horizontal="center"/>
    </xf>
    <xf numFmtId="4" fontId="0" fillId="0" borderId="0" xfId="0" applyNumberFormat="1"/>
    <xf numFmtId="4" fontId="37" fillId="0" borderId="0" xfId="0" applyNumberFormat="1" applyFont="1"/>
    <xf numFmtId="49" fontId="6" fillId="8" borderId="0" xfId="0" applyNumberFormat="1" applyFont="1" applyFill="1" applyAlignment="1" applyProtection="1">
      <alignment horizontal="left"/>
      <protection locked="0"/>
    </xf>
    <xf numFmtId="0" fontId="10" fillId="0" borderId="35" xfId="0" applyFont="1" applyBorder="1" applyAlignment="1" applyProtection="1">
      <alignment horizontal="center" vertical="center"/>
      <protection hidden="1"/>
    </xf>
    <xf numFmtId="0" fontId="10" fillId="0" borderId="37" xfId="0" applyFont="1" applyBorder="1" applyAlignment="1" applyProtection="1">
      <alignment horizontal="center" vertical="center"/>
      <protection hidden="1"/>
    </xf>
    <xf numFmtId="0" fontId="10" fillId="0" borderId="9" xfId="0" applyFont="1" applyBorder="1" applyAlignment="1" applyProtection="1">
      <alignment horizontal="center" vertical="center"/>
      <protection hidden="1"/>
    </xf>
    <xf numFmtId="0" fontId="11" fillId="0" borderId="31" xfId="0" applyFont="1" applyBorder="1" applyAlignment="1" applyProtection="1">
      <alignment horizontal="left" vertical="center"/>
      <protection hidden="1"/>
    </xf>
    <xf numFmtId="0" fontId="11" fillId="0" borderId="15" xfId="0" applyFont="1" applyBorder="1" applyAlignment="1" applyProtection="1">
      <alignment horizontal="left" vertical="center"/>
      <protection hidden="1"/>
    </xf>
    <xf numFmtId="0" fontId="11" fillId="0" borderId="17" xfId="0" applyFont="1" applyBorder="1" applyAlignment="1" applyProtection="1">
      <alignment horizontal="left" vertical="center"/>
      <protection hidden="1"/>
    </xf>
    <xf numFmtId="0" fontId="12" fillId="6" borderId="15" xfId="0" applyFont="1" applyFill="1" applyBorder="1" applyAlignment="1" applyProtection="1">
      <alignment horizontal="left"/>
      <protection hidden="1"/>
    </xf>
    <xf numFmtId="0" fontId="12" fillId="6" borderId="17" xfId="0" applyFont="1" applyFill="1" applyBorder="1" applyAlignment="1" applyProtection="1">
      <alignment horizontal="left"/>
      <protection hidden="1"/>
    </xf>
    <xf numFmtId="0" fontId="13" fillId="0" borderId="29" xfId="0" applyFont="1" applyBorder="1" applyAlignment="1" applyProtection="1">
      <alignment horizontal="center" vertical="center"/>
      <protection hidden="1"/>
    </xf>
    <xf numFmtId="0" fontId="13" fillId="0" borderId="24" xfId="0" applyFont="1" applyBorder="1" applyAlignment="1" applyProtection="1">
      <alignment horizontal="center" vertical="center"/>
      <protection hidden="1"/>
    </xf>
    <xf numFmtId="0" fontId="13" fillId="0" borderId="23" xfId="0" applyFont="1" applyBorder="1" applyAlignment="1" applyProtection="1">
      <alignment horizontal="center" vertical="center"/>
      <protection hidden="1"/>
    </xf>
    <xf numFmtId="14" fontId="23" fillId="0" borderId="38" xfId="0" applyNumberFormat="1" applyFont="1" applyBorder="1" applyAlignment="1" applyProtection="1">
      <alignment horizontal="center" vertical="center"/>
      <protection hidden="1"/>
    </xf>
    <xf numFmtId="14" fontId="23" fillId="0" borderId="0" xfId="0" applyNumberFormat="1" applyFont="1" applyAlignment="1" applyProtection="1">
      <alignment horizontal="center" vertical="center"/>
      <protection hidden="1"/>
    </xf>
    <xf numFmtId="14" fontId="23" fillId="0" borderId="7" xfId="0" applyNumberFormat="1" applyFont="1" applyBorder="1" applyAlignment="1" applyProtection="1">
      <alignment horizontal="center" vertical="center"/>
      <protection hidden="1"/>
    </xf>
    <xf numFmtId="3" fontId="27" fillId="6" borderId="16" xfId="7" applyNumberFormat="1" applyFont="1" applyFill="1" applyBorder="1" applyAlignment="1" applyProtection="1">
      <alignment horizontal="right"/>
      <protection hidden="1"/>
    </xf>
    <xf numFmtId="3" fontId="27" fillId="6" borderId="15" xfId="7" applyNumberFormat="1" applyFont="1" applyFill="1" applyBorder="1" applyAlignment="1" applyProtection="1">
      <alignment horizontal="right"/>
      <protection hidden="1"/>
    </xf>
    <xf numFmtId="3" fontId="27" fillId="6" borderId="10" xfId="7" applyNumberFormat="1" applyFont="1" applyFill="1" applyBorder="1" applyAlignment="1" applyProtection="1">
      <alignment horizontal="right"/>
      <protection hidden="1"/>
    </xf>
    <xf numFmtId="3" fontId="28" fillId="10" borderId="16" xfId="7" applyNumberFormat="1" applyFont="1" applyFill="1" applyBorder="1" applyAlignment="1" applyProtection="1">
      <alignment horizontal="right"/>
      <protection hidden="1"/>
    </xf>
    <xf numFmtId="3" fontId="28" fillId="10" borderId="15" xfId="7" applyNumberFormat="1" applyFont="1" applyFill="1" applyBorder="1" applyAlignment="1" applyProtection="1">
      <alignment horizontal="right"/>
      <protection hidden="1"/>
    </xf>
    <xf numFmtId="3" fontId="28" fillId="10" borderId="10" xfId="7" applyNumberFormat="1" applyFont="1" applyFill="1" applyBorder="1" applyAlignment="1" applyProtection="1">
      <alignment horizontal="right"/>
      <protection hidden="1"/>
    </xf>
    <xf numFmtId="0" fontId="9" fillId="0" borderId="27" xfId="0" applyFont="1" applyBorder="1" applyAlignment="1" applyProtection="1">
      <alignment horizontal="center" vertical="center" wrapText="1"/>
      <protection hidden="1"/>
    </xf>
    <xf numFmtId="0" fontId="9" fillId="0" borderId="28" xfId="0" applyFont="1" applyBorder="1" applyAlignment="1" applyProtection="1">
      <alignment horizontal="center" vertical="center" wrapText="1"/>
      <protection hidden="1"/>
    </xf>
    <xf numFmtId="0" fontId="9" fillId="0" borderId="34" xfId="0" applyFont="1" applyBorder="1" applyAlignment="1" applyProtection="1">
      <alignment horizontal="center" vertical="center" wrapText="1"/>
      <protection hidden="1"/>
    </xf>
    <xf numFmtId="0" fontId="11" fillId="0" borderId="32" xfId="0" applyFont="1" applyBorder="1" applyAlignment="1" applyProtection="1">
      <alignment horizontal="center" vertical="center"/>
      <protection hidden="1"/>
    </xf>
    <xf numFmtId="0" fontId="11" fillId="0" borderId="24" xfId="0" applyFont="1" applyBorder="1" applyAlignment="1" applyProtection="1">
      <alignment horizontal="center" vertical="center"/>
      <protection hidden="1"/>
    </xf>
    <xf numFmtId="0" fontId="11" fillId="0" borderId="6" xfId="0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4" fillId="6" borderId="24" xfId="0" applyFont="1" applyFill="1" applyBorder="1" applyAlignment="1" applyProtection="1">
      <alignment horizontal="center" vertical="center"/>
      <protection hidden="1"/>
    </xf>
    <xf numFmtId="0" fontId="14" fillId="6" borderId="0" xfId="0" applyFont="1" applyFill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center" vertical="top"/>
      <protection hidden="1"/>
    </xf>
    <xf numFmtId="0" fontId="9" fillId="0" borderId="5" xfId="0" applyFont="1" applyBorder="1" applyAlignment="1" applyProtection="1">
      <alignment horizontal="center" vertical="center" wrapText="1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 wrapText="1"/>
      <protection hidden="1"/>
    </xf>
    <xf numFmtId="0" fontId="9" fillId="0" borderId="15" xfId="0" applyFont="1" applyBorder="1" applyAlignment="1" applyProtection="1">
      <alignment horizontal="center" vertical="center" wrapText="1"/>
      <protection hidden="1"/>
    </xf>
    <xf numFmtId="0" fontId="9" fillId="0" borderId="17" xfId="0" applyFont="1" applyBorder="1" applyAlignment="1" applyProtection="1">
      <alignment horizontal="center" vertical="center" wrapText="1"/>
      <protection hidden="1"/>
    </xf>
    <xf numFmtId="0" fontId="20" fillId="0" borderId="16" xfId="0" applyFont="1" applyBorder="1" applyAlignment="1" applyProtection="1">
      <alignment horizontal="center" vertical="center"/>
      <protection hidden="1"/>
    </xf>
    <xf numFmtId="0" fontId="20" fillId="0" borderId="15" xfId="0" applyFont="1" applyBorder="1" applyAlignment="1" applyProtection="1">
      <alignment horizontal="center" vertical="center"/>
      <protection hidden="1"/>
    </xf>
    <xf numFmtId="0" fontId="20" fillId="0" borderId="34" xfId="0" applyFont="1" applyBorder="1" applyAlignment="1" applyProtection="1">
      <alignment horizontal="center" vertical="center"/>
      <protection hidden="1"/>
    </xf>
    <xf numFmtId="0" fontId="21" fillId="0" borderId="32" xfId="0" applyFont="1" applyBorder="1" applyAlignment="1" applyProtection="1">
      <alignment horizontal="center" vertical="center" textRotation="90" wrapText="1"/>
      <protection hidden="1"/>
    </xf>
    <xf numFmtId="0" fontId="21" fillId="0" borderId="30" xfId="0" applyFont="1" applyBorder="1" applyAlignment="1" applyProtection="1">
      <alignment horizontal="center" vertical="center" textRotation="90" wrapText="1"/>
      <protection hidden="1"/>
    </xf>
    <xf numFmtId="0" fontId="21" fillId="0" borderId="6" xfId="0" applyFont="1" applyBorder="1" applyAlignment="1" applyProtection="1">
      <alignment horizontal="center" vertical="center" textRotation="90" wrapText="1"/>
      <protection hidden="1"/>
    </xf>
    <xf numFmtId="0" fontId="21" fillId="0" borderId="39" xfId="0" applyFont="1" applyBorder="1" applyAlignment="1" applyProtection="1">
      <alignment horizontal="center" vertical="center" textRotation="90" wrapText="1"/>
      <protection hidden="1"/>
    </xf>
    <xf numFmtId="0" fontId="21" fillId="0" borderId="33" xfId="0" applyFont="1" applyBorder="1" applyAlignment="1" applyProtection="1">
      <alignment horizontal="center" vertical="center" textRotation="90" wrapText="1"/>
      <protection hidden="1"/>
    </xf>
    <xf numFmtId="0" fontId="21" fillId="0" borderId="34" xfId="0" applyFont="1" applyBorder="1" applyAlignment="1" applyProtection="1">
      <alignment horizontal="center" vertical="center" textRotation="90" wrapText="1"/>
      <protection hidden="1"/>
    </xf>
    <xf numFmtId="0" fontId="12" fillId="6" borderId="16" xfId="0" applyFont="1" applyFill="1" applyBorder="1" applyAlignment="1" applyProtection="1">
      <alignment horizontal="center" vertical="center"/>
      <protection hidden="1"/>
    </xf>
    <xf numFmtId="0" fontId="12" fillId="6" borderId="15" xfId="0" applyFont="1" applyFill="1" applyBorder="1" applyAlignment="1" applyProtection="1">
      <alignment horizontal="center" vertical="center"/>
      <protection hidden="1"/>
    </xf>
    <xf numFmtId="0" fontId="12" fillId="0" borderId="16" xfId="0" applyFont="1" applyBorder="1" applyAlignment="1" applyProtection="1">
      <alignment horizontal="center" vertical="center"/>
      <protection hidden="1"/>
    </xf>
    <xf numFmtId="0" fontId="12" fillId="0" borderId="15" xfId="0" applyFont="1" applyBorder="1" applyAlignment="1" applyProtection="1">
      <alignment horizontal="center" vertical="center"/>
      <protection hidden="1"/>
    </xf>
    <xf numFmtId="0" fontId="12" fillId="0" borderId="17" xfId="0" applyFont="1" applyBorder="1" applyAlignment="1" applyProtection="1">
      <alignment horizontal="center" vertical="center"/>
      <protection hidden="1"/>
    </xf>
    <xf numFmtId="0" fontId="12" fillId="0" borderId="10" xfId="0" applyFont="1" applyBorder="1" applyAlignment="1" applyProtection="1">
      <alignment horizontal="center" vertical="center"/>
      <protection hidden="1"/>
    </xf>
    <xf numFmtId="3" fontId="12" fillId="0" borderId="16" xfId="0" applyNumberFormat="1" applyFont="1" applyBorder="1" applyAlignment="1" applyProtection="1">
      <alignment horizontal="center" vertical="center"/>
      <protection hidden="1"/>
    </xf>
    <xf numFmtId="3" fontId="12" fillId="0" borderId="15" xfId="0" applyNumberFormat="1" applyFont="1" applyBorder="1" applyAlignment="1" applyProtection="1">
      <alignment horizontal="center" vertical="center"/>
      <protection hidden="1"/>
    </xf>
    <xf numFmtId="3" fontId="12" fillId="0" borderId="17" xfId="0" applyNumberFormat="1" applyFont="1" applyBorder="1" applyAlignment="1" applyProtection="1">
      <alignment horizontal="center" vertical="center"/>
      <protection hidden="1"/>
    </xf>
    <xf numFmtId="0" fontId="21" fillId="0" borderId="32" xfId="0" applyFont="1" applyBorder="1" applyAlignment="1" applyProtection="1">
      <alignment horizontal="center" vertical="center" wrapText="1"/>
      <protection hidden="1"/>
    </xf>
    <xf numFmtId="0" fontId="21" fillId="0" borderId="24" xfId="0" applyFont="1" applyBorder="1" applyAlignment="1" applyProtection="1">
      <alignment horizontal="center" vertical="center" wrapText="1"/>
      <protection hidden="1"/>
    </xf>
    <xf numFmtId="0" fontId="21" fillId="0" borderId="30" xfId="0" applyFont="1" applyBorder="1" applyAlignment="1" applyProtection="1">
      <alignment horizontal="center" vertical="center" wrapText="1"/>
      <protection hidden="1"/>
    </xf>
    <xf numFmtId="0" fontId="21" fillId="0" borderId="6" xfId="0" applyFont="1" applyBorder="1" applyAlignment="1" applyProtection="1">
      <alignment horizontal="center" vertical="center" wrapText="1"/>
      <protection hidden="1"/>
    </xf>
    <xf numFmtId="0" fontId="21" fillId="0" borderId="0" xfId="0" applyFont="1" applyAlignment="1" applyProtection="1">
      <alignment horizontal="center" vertical="center" wrapText="1"/>
      <protection hidden="1"/>
    </xf>
    <xf numFmtId="0" fontId="21" fillId="0" borderId="39" xfId="0" applyFont="1" applyBorder="1" applyAlignment="1" applyProtection="1">
      <alignment horizontal="center" vertical="center" wrapText="1"/>
      <protection hidden="1"/>
    </xf>
    <xf numFmtId="0" fontId="21" fillId="0" borderId="33" xfId="0" applyFont="1" applyBorder="1" applyAlignment="1" applyProtection="1">
      <alignment horizontal="center" vertical="center" wrapText="1"/>
      <protection hidden="1"/>
    </xf>
    <xf numFmtId="0" fontId="21" fillId="0" borderId="28" xfId="0" applyFont="1" applyBorder="1" applyAlignment="1" applyProtection="1">
      <alignment horizontal="center" vertical="center" wrapText="1"/>
      <protection hidden="1"/>
    </xf>
    <xf numFmtId="0" fontId="21" fillId="0" borderId="34" xfId="0" applyFont="1" applyBorder="1" applyAlignment="1" applyProtection="1">
      <alignment horizontal="center" vertical="center" wrapText="1"/>
      <protection hidden="1"/>
    </xf>
    <xf numFmtId="3" fontId="27" fillId="10" borderId="16" xfId="7" applyNumberFormat="1" applyFont="1" applyFill="1" applyBorder="1" applyAlignment="1" applyProtection="1">
      <alignment horizontal="right" vertical="center"/>
      <protection hidden="1"/>
    </xf>
    <xf numFmtId="3" fontId="27" fillId="10" borderId="15" xfId="7" applyNumberFormat="1" applyFont="1" applyFill="1" applyBorder="1" applyAlignment="1" applyProtection="1">
      <alignment horizontal="right" vertical="center"/>
      <protection hidden="1"/>
    </xf>
    <xf numFmtId="3" fontId="27" fillId="10" borderId="10" xfId="7" applyNumberFormat="1" applyFont="1" applyFill="1" applyBorder="1" applyAlignment="1" applyProtection="1">
      <alignment horizontal="right" vertical="center"/>
      <protection hidden="1"/>
    </xf>
    <xf numFmtId="3" fontId="28" fillId="10" borderId="16" xfId="7" applyNumberFormat="1" applyFont="1" applyFill="1" applyBorder="1" applyAlignment="1" applyProtection="1">
      <alignment horizontal="right" vertical="center"/>
      <protection hidden="1"/>
    </xf>
    <xf numFmtId="3" fontId="28" fillId="10" borderId="15" xfId="7" applyNumberFormat="1" applyFont="1" applyFill="1" applyBorder="1" applyAlignment="1" applyProtection="1">
      <alignment horizontal="right" vertical="center"/>
      <protection hidden="1"/>
    </xf>
    <xf numFmtId="3" fontId="28" fillId="10" borderId="10" xfId="7" applyNumberFormat="1" applyFont="1" applyFill="1" applyBorder="1" applyAlignment="1" applyProtection="1">
      <alignment horizontal="right" vertical="center"/>
      <protection hidden="1"/>
    </xf>
    <xf numFmtId="0" fontId="9" fillId="0" borderId="16" xfId="0" applyFont="1" applyBorder="1" applyAlignment="1" applyProtection="1">
      <alignment horizontal="left" vertical="top"/>
      <protection hidden="1"/>
    </xf>
    <xf numFmtId="0" fontId="9" fillId="0" borderId="15" xfId="0" applyFont="1" applyBorder="1" applyAlignment="1" applyProtection="1">
      <alignment horizontal="left" vertical="top"/>
      <protection hidden="1"/>
    </xf>
    <xf numFmtId="0" fontId="9" fillId="0" borderId="17" xfId="0" applyFont="1" applyBorder="1" applyAlignment="1" applyProtection="1">
      <alignment horizontal="left" vertical="top"/>
      <protection hidden="1"/>
    </xf>
    <xf numFmtId="0" fontId="21" fillId="0" borderId="16" xfId="0" applyFont="1" applyBorder="1" applyAlignment="1" applyProtection="1">
      <alignment horizontal="left" vertical="top"/>
      <protection hidden="1"/>
    </xf>
    <xf numFmtId="0" fontId="21" fillId="0" borderId="15" xfId="0" applyFont="1" applyBorder="1" applyAlignment="1" applyProtection="1">
      <alignment horizontal="left" vertical="top"/>
      <protection hidden="1"/>
    </xf>
    <xf numFmtId="0" fontId="21" fillId="0" borderId="17" xfId="0" applyFont="1" applyBorder="1" applyAlignment="1" applyProtection="1">
      <alignment horizontal="left" vertical="top"/>
      <protection hidden="1"/>
    </xf>
    <xf numFmtId="0" fontId="9" fillId="0" borderId="5" xfId="0" applyFont="1" applyBorder="1" applyAlignment="1" applyProtection="1">
      <alignment horizontal="left" vertical="top"/>
      <protection hidden="1"/>
    </xf>
    <xf numFmtId="0" fontId="9" fillId="0" borderId="24" xfId="0" applyFont="1" applyBorder="1" applyAlignment="1" applyProtection="1">
      <alignment horizontal="left" vertical="top"/>
      <protection hidden="1"/>
    </xf>
    <xf numFmtId="0" fontId="9" fillId="0" borderId="10" xfId="0" applyFont="1" applyBorder="1" applyAlignment="1" applyProtection="1">
      <alignment horizontal="left" vertical="top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left" vertical="center"/>
      <protection hidden="1"/>
    </xf>
    <xf numFmtId="0" fontId="9" fillId="0" borderId="15" xfId="0" applyFont="1" applyBorder="1" applyAlignment="1" applyProtection="1">
      <alignment horizontal="left" vertical="center"/>
      <protection hidden="1"/>
    </xf>
    <xf numFmtId="0" fontId="9" fillId="0" borderId="17" xfId="0" applyFont="1" applyBorder="1" applyAlignment="1" applyProtection="1">
      <alignment horizontal="left" vertical="center"/>
      <protection hidden="1"/>
    </xf>
    <xf numFmtId="0" fontId="18" fillId="0" borderId="40" xfId="0" applyFont="1" applyBorder="1" applyAlignment="1" applyProtection="1">
      <alignment horizontal="center" vertical="center"/>
      <protection hidden="1"/>
    </xf>
    <xf numFmtId="0" fontId="18" fillId="0" borderId="37" xfId="0" applyFont="1" applyBorder="1" applyAlignment="1" applyProtection="1">
      <alignment horizontal="center" vertical="center"/>
      <protection hidden="1"/>
    </xf>
    <xf numFmtId="0" fontId="18" fillId="0" borderId="36" xfId="0" applyFont="1" applyBorder="1" applyAlignment="1" applyProtection="1">
      <alignment horizontal="center" vertical="center"/>
      <protection hidden="1"/>
    </xf>
    <xf numFmtId="0" fontId="18" fillId="0" borderId="9" xfId="0" applyFont="1" applyBorder="1" applyAlignment="1" applyProtection="1">
      <alignment horizontal="center" vertical="center"/>
      <protection hidden="1"/>
    </xf>
    <xf numFmtId="0" fontId="21" fillId="0" borderId="18" xfId="0" applyFont="1" applyBorder="1" applyAlignment="1" applyProtection="1">
      <alignment horizontal="center" vertical="center" textRotation="90" wrapText="1"/>
      <protection hidden="1"/>
    </xf>
    <xf numFmtId="0" fontId="21" fillId="0" borderId="41" xfId="0" applyFont="1" applyBorder="1" applyAlignment="1" applyProtection="1">
      <alignment horizontal="center" vertical="center" textRotation="90" wrapText="1"/>
      <protection hidden="1"/>
    </xf>
    <xf numFmtId="0" fontId="21" fillId="0" borderId="25" xfId="0" applyFont="1" applyBorder="1" applyAlignment="1" applyProtection="1">
      <alignment horizontal="center" vertical="center" textRotation="90" wrapText="1"/>
      <protection hidden="1"/>
    </xf>
    <xf numFmtId="0" fontId="21" fillId="0" borderId="42" xfId="0" applyFont="1" applyBorder="1" applyAlignment="1" applyProtection="1">
      <alignment horizontal="center" vertical="center" textRotation="90" wrapText="1"/>
      <protection hidden="1"/>
    </xf>
    <xf numFmtId="0" fontId="30" fillId="0" borderId="32" xfId="0" applyFont="1" applyBorder="1" applyAlignment="1" applyProtection="1">
      <alignment horizontal="center" vertical="center"/>
      <protection hidden="1"/>
    </xf>
    <xf numFmtId="0" fontId="30" fillId="0" borderId="24" xfId="0" applyFont="1" applyBorder="1" applyAlignment="1" applyProtection="1">
      <alignment horizontal="center" vertical="center"/>
      <protection hidden="1"/>
    </xf>
    <xf numFmtId="0" fontId="30" fillId="0" borderId="30" xfId="0" applyFont="1" applyBorder="1" applyAlignment="1" applyProtection="1">
      <alignment horizontal="center" vertical="center"/>
      <protection hidden="1"/>
    </xf>
    <xf numFmtId="0" fontId="30" fillId="0" borderId="6" xfId="0" applyFont="1" applyBorder="1" applyAlignment="1" applyProtection="1">
      <alignment horizontal="center" vertical="center"/>
      <protection hidden="1"/>
    </xf>
    <xf numFmtId="0" fontId="30" fillId="0" borderId="0" xfId="0" applyFont="1" applyAlignment="1" applyProtection="1">
      <alignment horizontal="center" vertical="center"/>
      <protection hidden="1"/>
    </xf>
    <xf numFmtId="0" fontId="30" fillId="0" borderId="39" xfId="0" applyFont="1" applyBorder="1" applyAlignment="1" applyProtection="1">
      <alignment horizontal="center" vertical="center"/>
      <protection hidden="1"/>
    </xf>
    <xf numFmtId="0" fontId="30" fillId="0" borderId="33" xfId="0" applyFont="1" applyBorder="1" applyAlignment="1" applyProtection="1">
      <alignment horizontal="center" vertical="center"/>
      <protection hidden="1"/>
    </xf>
    <xf numFmtId="0" fontId="30" fillId="0" borderId="28" xfId="0" applyFont="1" applyBorder="1" applyAlignment="1" applyProtection="1">
      <alignment horizontal="center" vertical="center"/>
      <protection hidden="1"/>
    </xf>
    <xf numFmtId="0" fontId="30" fillId="0" borderId="34" xfId="0" applyFont="1" applyBorder="1" applyAlignment="1" applyProtection="1">
      <alignment horizontal="center" vertical="center"/>
      <protection hidden="1"/>
    </xf>
    <xf numFmtId="2" fontId="29" fillId="0" borderId="29" xfId="0" applyNumberFormat="1" applyFont="1" applyBorder="1" applyAlignment="1" applyProtection="1">
      <alignment horizontal="center" vertical="center" wrapText="1"/>
      <protection hidden="1"/>
    </xf>
    <xf numFmtId="2" fontId="29" fillId="0" borderId="24" xfId="0" applyNumberFormat="1" applyFont="1" applyBorder="1" applyAlignment="1" applyProtection="1">
      <alignment horizontal="center" vertical="center" wrapText="1"/>
      <protection hidden="1"/>
    </xf>
    <xf numFmtId="2" fontId="29" fillId="0" borderId="23" xfId="0" applyNumberFormat="1" applyFont="1" applyBorder="1" applyAlignment="1" applyProtection="1">
      <alignment horizontal="center" vertical="center" wrapText="1"/>
      <protection hidden="1"/>
    </xf>
    <xf numFmtId="2" fontId="29" fillId="0" borderId="38" xfId="0" applyNumberFormat="1" applyFont="1" applyBorder="1" applyAlignment="1" applyProtection="1">
      <alignment horizontal="center" vertical="center" wrapText="1"/>
      <protection hidden="1"/>
    </xf>
    <xf numFmtId="2" fontId="29" fillId="0" borderId="0" xfId="0" applyNumberFormat="1" applyFont="1" applyAlignment="1" applyProtection="1">
      <alignment horizontal="center" vertical="center" wrapText="1"/>
      <protection hidden="1"/>
    </xf>
    <xf numFmtId="2" fontId="29" fillId="0" borderId="7" xfId="0" applyNumberFormat="1" applyFont="1" applyBorder="1" applyAlignment="1" applyProtection="1">
      <alignment horizontal="center" vertical="center" wrapText="1"/>
      <protection hidden="1"/>
    </xf>
    <xf numFmtId="2" fontId="29" fillId="0" borderId="27" xfId="0" applyNumberFormat="1" applyFont="1" applyBorder="1" applyAlignment="1" applyProtection="1">
      <alignment horizontal="center" vertical="center" wrapText="1"/>
      <protection hidden="1"/>
    </xf>
    <xf numFmtId="2" fontId="29" fillId="0" borderId="28" xfId="0" applyNumberFormat="1" applyFont="1" applyBorder="1" applyAlignment="1" applyProtection="1">
      <alignment horizontal="center" vertical="center" wrapText="1"/>
      <protection hidden="1"/>
    </xf>
    <xf numFmtId="2" fontId="29" fillId="0" borderId="26" xfId="0" applyNumberFormat="1" applyFont="1" applyBorder="1" applyAlignment="1" applyProtection="1">
      <alignment horizontal="center" vertical="center" wrapText="1"/>
      <protection hidden="1"/>
    </xf>
    <xf numFmtId="0" fontId="30" fillId="0" borderId="32" xfId="0" applyFont="1" applyBorder="1" applyAlignment="1" applyProtection="1">
      <alignment horizontal="center" vertical="center" wrapText="1"/>
      <protection hidden="1"/>
    </xf>
    <xf numFmtId="0" fontId="30" fillId="0" borderId="24" xfId="0" applyFont="1" applyBorder="1" applyAlignment="1" applyProtection="1">
      <alignment horizontal="center" vertical="center" wrapText="1"/>
      <protection hidden="1"/>
    </xf>
    <xf numFmtId="0" fontId="30" fillId="0" borderId="30" xfId="0" applyFont="1" applyBorder="1" applyAlignment="1" applyProtection="1">
      <alignment horizontal="center" vertical="center" wrapText="1"/>
      <protection hidden="1"/>
    </xf>
    <xf numFmtId="0" fontId="30" fillId="0" borderId="6" xfId="0" applyFont="1" applyBorder="1" applyAlignment="1" applyProtection="1">
      <alignment horizontal="center" vertical="center" wrapText="1"/>
      <protection hidden="1"/>
    </xf>
    <xf numFmtId="0" fontId="30" fillId="0" borderId="0" xfId="0" applyFont="1" applyAlignment="1" applyProtection="1">
      <alignment horizontal="center" vertical="center" wrapText="1"/>
      <protection hidden="1"/>
    </xf>
    <xf numFmtId="0" fontId="30" fillId="0" borderId="39" xfId="0" applyFont="1" applyBorder="1" applyAlignment="1" applyProtection="1">
      <alignment horizontal="center" vertical="center" wrapText="1"/>
      <protection hidden="1"/>
    </xf>
    <xf numFmtId="0" fontId="30" fillId="0" borderId="25" xfId="0" applyFont="1" applyBorder="1" applyAlignment="1" applyProtection="1">
      <alignment horizontal="center" vertical="center" wrapText="1"/>
      <protection hidden="1"/>
    </xf>
    <xf numFmtId="0" fontId="30" fillId="0" borderId="2" xfId="0" applyFont="1" applyBorder="1" applyAlignment="1" applyProtection="1">
      <alignment horizontal="center" vertical="center" wrapText="1"/>
      <protection hidden="1"/>
    </xf>
    <xf numFmtId="0" fontId="30" fillId="0" borderId="42" xfId="0" applyFont="1" applyBorder="1" applyAlignment="1" applyProtection="1">
      <alignment horizontal="center" vertical="center" wrapText="1"/>
      <protection hidden="1"/>
    </xf>
    <xf numFmtId="0" fontId="31" fillId="0" borderId="29" xfId="0" applyFont="1" applyBorder="1" applyAlignment="1" applyProtection="1">
      <alignment horizontal="center" vertical="center"/>
      <protection hidden="1"/>
    </xf>
    <xf numFmtId="0" fontId="31" fillId="0" borderId="24" xfId="0" applyFont="1" applyBorder="1" applyAlignment="1" applyProtection="1">
      <alignment horizontal="center" vertical="center"/>
      <protection hidden="1"/>
    </xf>
    <xf numFmtId="0" fontId="31" fillId="0" borderId="30" xfId="0" applyFont="1" applyBorder="1" applyAlignment="1" applyProtection="1">
      <alignment horizontal="center" vertical="center"/>
      <protection hidden="1"/>
    </xf>
    <xf numFmtId="0" fontId="31" fillId="0" borderId="38" xfId="0" applyFont="1" applyBorder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horizontal="center" vertical="center"/>
      <protection hidden="1"/>
    </xf>
    <xf numFmtId="0" fontId="31" fillId="0" borderId="39" xfId="0" applyFont="1" applyBorder="1" applyAlignment="1" applyProtection="1">
      <alignment horizontal="center" vertical="center"/>
      <protection hidden="1"/>
    </xf>
    <xf numFmtId="0" fontId="31" fillId="0" borderId="43" xfId="0" applyFont="1" applyBorder="1" applyAlignment="1" applyProtection="1">
      <alignment horizontal="center" vertical="center"/>
      <protection hidden="1"/>
    </xf>
    <xf numFmtId="0" fontId="31" fillId="0" borderId="2" xfId="0" applyFont="1" applyBorder="1" applyAlignment="1" applyProtection="1">
      <alignment horizontal="center" vertical="center"/>
      <protection hidden="1"/>
    </xf>
    <xf numFmtId="0" fontId="31" fillId="0" borderId="42" xfId="0" applyFont="1" applyBorder="1" applyAlignment="1" applyProtection="1">
      <alignment horizontal="center" vertical="center"/>
      <protection hidden="1"/>
    </xf>
    <xf numFmtId="0" fontId="30" fillId="0" borderId="29" xfId="0" applyFont="1" applyBorder="1" applyAlignment="1" applyProtection="1">
      <alignment horizontal="center" vertical="center" wrapText="1"/>
      <protection hidden="1"/>
    </xf>
    <xf numFmtId="0" fontId="30" fillId="0" borderId="23" xfId="0" applyFont="1" applyBorder="1" applyAlignment="1" applyProtection="1">
      <alignment horizontal="center" vertical="center" wrapText="1"/>
      <protection hidden="1"/>
    </xf>
    <xf numFmtId="0" fontId="30" fillId="0" borderId="38" xfId="0" applyFont="1" applyBorder="1" applyAlignment="1" applyProtection="1">
      <alignment horizontal="center" vertical="center" wrapText="1"/>
      <protection hidden="1"/>
    </xf>
    <xf numFmtId="0" fontId="30" fillId="0" borderId="7" xfId="0" applyFont="1" applyBorder="1" applyAlignment="1" applyProtection="1">
      <alignment horizontal="center" vertical="center" wrapText="1"/>
      <protection hidden="1"/>
    </xf>
    <xf numFmtId="0" fontId="30" fillId="0" borderId="43" xfId="0" applyFont="1" applyBorder="1" applyAlignment="1" applyProtection="1">
      <alignment horizontal="center" vertical="center" wrapText="1"/>
      <protection hidden="1"/>
    </xf>
    <xf numFmtId="0" fontId="30" fillId="0" borderId="3" xfId="0" applyFont="1" applyBorder="1" applyAlignment="1" applyProtection="1">
      <alignment horizontal="center" vertical="center" wrapText="1"/>
      <protection hidden="1"/>
    </xf>
    <xf numFmtId="170" fontId="27" fillId="0" borderId="16" xfId="0" applyNumberFormat="1" applyFont="1" applyBorder="1" applyAlignment="1" applyProtection="1">
      <alignment horizontal="center" vertical="center"/>
      <protection hidden="1"/>
    </xf>
    <xf numFmtId="170" fontId="27" fillId="0" borderId="15" xfId="0" applyNumberFormat="1" applyFont="1" applyBorder="1" applyAlignment="1" applyProtection="1">
      <alignment horizontal="center" vertical="center"/>
      <protection hidden="1"/>
    </xf>
    <xf numFmtId="170" fontId="27" fillId="0" borderId="17" xfId="0" applyNumberFormat="1" applyFont="1" applyBorder="1" applyAlignment="1" applyProtection="1">
      <alignment horizontal="center" vertical="center"/>
      <protection hidden="1"/>
    </xf>
    <xf numFmtId="171" fontId="27" fillId="0" borderId="16" xfId="0" applyNumberFormat="1" applyFont="1" applyBorder="1" applyAlignment="1" applyProtection="1">
      <alignment horizontal="center"/>
      <protection hidden="1"/>
    </xf>
    <xf numFmtId="171" fontId="27" fillId="0" borderId="15" xfId="0" applyNumberFormat="1" applyFont="1" applyBorder="1" applyAlignment="1" applyProtection="1">
      <alignment horizontal="center"/>
      <protection hidden="1"/>
    </xf>
    <xf numFmtId="171" fontId="27" fillId="0" borderId="17" xfId="0" applyNumberFormat="1" applyFont="1" applyBorder="1" applyAlignment="1" applyProtection="1">
      <alignment horizontal="center"/>
      <protection hidden="1"/>
    </xf>
    <xf numFmtId="3" fontId="27" fillId="10" borderId="16" xfId="0" applyNumberFormat="1" applyFont="1" applyFill="1" applyBorder="1" applyAlignment="1" applyProtection="1">
      <alignment horizontal="center" vertical="center"/>
      <protection hidden="1"/>
    </xf>
    <xf numFmtId="3" fontId="27" fillId="10" borderId="15" xfId="0" applyNumberFormat="1" applyFont="1" applyFill="1" applyBorder="1" applyAlignment="1" applyProtection="1">
      <alignment horizontal="center" vertical="center"/>
      <protection hidden="1"/>
    </xf>
    <xf numFmtId="3" fontId="27" fillId="10" borderId="10" xfId="0" applyNumberFormat="1" applyFont="1" applyFill="1" applyBorder="1" applyAlignment="1" applyProtection="1">
      <alignment horizontal="center" vertical="center"/>
      <protection hidden="1"/>
    </xf>
    <xf numFmtId="0" fontId="27" fillId="0" borderId="16" xfId="0" applyFont="1" applyBorder="1" applyAlignment="1" applyProtection="1">
      <alignment horizontal="center" vertical="center"/>
      <protection hidden="1"/>
    </xf>
    <xf numFmtId="0" fontId="27" fillId="0" borderId="15" xfId="0" applyFont="1" applyBorder="1" applyAlignment="1" applyProtection="1">
      <alignment horizontal="center" vertical="center"/>
      <protection hidden="1"/>
    </xf>
    <xf numFmtId="0" fontId="27" fillId="0" borderId="17" xfId="0" applyFont="1" applyBorder="1" applyAlignment="1" applyProtection="1">
      <alignment horizontal="center" vertical="center"/>
      <protection hidden="1"/>
    </xf>
    <xf numFmtId="3" fontId="27" fillId="10" borderId="16" xfId="7" applyNumberFormat="1" applyFont="1" applyFill="1" applyBorder="1" applyAlignment="1" applyProtection="1">
      <alignment horizontal="center" vertical="center"/>
      <protection hidden="1"/>
    </xf>
    <xf numFmtId="3" fontId="27" fillId="10" borderId="15" xfId="7" applyNumberFormat="1" applyFont="1" applyFill="1" applyBorder="1" applyAlignment="1" applyProtection="1">
      <alignment horizontal="center" vertical="center"/>
      <protection hidden="1"/>
    </xf>
    <xf numFmtId="3" fontId="27" fillId="10" borderId="10" xfId="7" applyNumberFormat="1" applyFont="1" applyFill="1" applyBorder="1" applyAlignment="1" applyProtection="1">
      <alignment horizontal="center" vertical="center"/>
      <protection hidden="1"/>
    </xf>
    <xf numFmtId="3" fontId="28" fillId="10" borderId="16" xfId="0" applyNumberFormat="1" applyFont="1" applyFill="1" applyBorder="1" applyAlignment="1" applyProtection="1">
      <alignment horizontal="right" vertical="center"/>
      <protection hidden="1"/>
    </xf>
    <xf numFmtId="3" fontId="28" fillId="10" borderId="15" xfId="0" applyNumberFormat="1" applyFont="1" applyFill="1" applyBorder="1" applyAlignment="1" applyProtection="1">
      <alignment horizontal="right" vertical="center"/>
      <protection hidden="1"/>
    </xf>
    <xf numFmtId="3" fontId="28" fillId="10" borderId="10" xfId="0" applyNumberFormat="1" applyFont="1" applyFill="1" applyBorder="1" applyAlignment="1" applyProtection="1">
      <alignment horizontal="right" vertical="center"/>
      <protection hidden="1"/>
    </xf>
    <xf numFmtId="3" fontId="27" fillId="10" borderId="16" xfId="0" applyNumberFormat="1" applyFont="1" applyFill="1" applyBorder="1" applyAlignment="1" applyProtection="1">
      <alignment horizontal="right" vertical="center"/>
      <protection hidden="1"/>
    </xf>
    <xf numFmtId="3" fontId="27" fillId="10" borderId="15" xfId="0" applyNumberFormat="1" applyFont="1" applyFill="1" applyBorder="1" applyAlignment="1" applyProtection="1">
      <alignment horizontal="right" vertical="center"/>
      <protection hidden="1"/>
    </xf>
    <xf numFmtId="3" fontId="27" fillId="10" borderId="10" xfId="0" applyNumberFormat="1" applyFont="1" applyFill="1" applyBorder="1" applyAlignment="1" applyProtection="1">
      <alignment horizontal="right" vertical="center"/>
      <protection hidden="1"/>
    </xf>
    <xf numFmtId="0" fontId="18" fillId="0" borderId="16" xfId="0" applyFont="1" applyBorder="1" applyAlignment="1" applyProtection="1">
      <alignment horizontal="center" vertical="center"/>
      <protection hidden="1"/>
    </xf>
    <xf numFmtId="0" fontId="18" fillId="0" borderId="15" xfId="0" applyFont="1" applyBorder="1" applyAlignment="1" applyProtection="1">
      <alignment horizontal="center" vertical="center"/>
      <protection hidden="1"/>
    </xf>
    <xf numFmtId="0" fontId="18" fillId="0" borderId="10" xfId="0" applyFont="1" applyBorder="1" applyAlignment="1" applyProtection="1">
      <alignment horizontal="center" vertical="center"/>
      <protection hidden="1"/>
    </xf>
    <xf numFmtId="3" fontId="28" fillId="10" borderId="16" xfId="7" applyNumberFormat="1" applyFont="1" applyFill="1" applyBorder="1" applyAlignment="1" applyProtection="1">
      <alignment vertical="center"/>
      <protection hidden="1"/>
    </xf>
    <xf numFmtId="3" fontId="28" fillId="10" borderId="15" xfId="7" applyNumberFormat="1" applyFont="1" applyFill="1" applyBorder="1" applyAlignment="1" applyProtection="1">
      <alignment vertical="center"/>
      <protection hidden="1"/>
    </xf>
    <xf numFmtId="3" fontId="28" fillId="10" borderId="10" xfId="7" applyNumberFormat="1" applyFont="1" applyFill="1" applyBorder="1" applyAlignment="1" applyProtection="1">
      <alignment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21" fillId="0" borderId="31" xfId="0" applyFont="1" applyBorder="1" applyAlignment="1" applyProtection="1">
      <alignment horizontal="center" vertical="center" textRotation="90" wrapText="1"/>
      <protection hidden="1"/>
    </xf>
    <xf numFmtId="0" fontId="21" fillId="0" borderId="17" xfId="0" applyFont="1" applyBorder="1" applyAlignment="1" applyProtection="1">
      <alignment horizontal="center" vertical="center" textRotation="90" wrapText="1"/>
      <protection hidden="1"/>
    </xf>
    <xf numFmtId="0" fontId="13" fillId="6" borderId="16" xfId="0" applyFont="1" applyFill="1" applyBorder="1" applyAlignment="1" applyProtection="1">
      <alignment horizontal="center" vertical="center"/>
      <protection hidden="1"/>
    </xf>
    <xf numFmtId="0" fontId="13" fillId="6" borderId="15" xfId="0" applyFont="1" applyFill="1" applyBorder="1" applyAlignment="1" applyProtection="1">
      <alignment horizontal="center" vertical="center"/>
      <protection hidden="1"/>
    </xf>
    <xf numFmtId="0" fontId="13" fillId="6" borderId="17" xfId="0" applyFont="1" applyFill="1" applyBorder="1" applyAlignment="1" applyProtection="1">
      <alignment horizontal="center" vertical="center"/>
      <protection hidden="1"/>
    </xf>
    <xf numFmtId="170" fontId="27" fillId="3" borderId="16" xfId="0" applyNumberFormat="1" applyFont="1" applyFill="1" applyBorder="1" applyAlignment="1" applyProtection="1">
      <alignment horizontal="center" vertical="center"/>
      <protection hidden="1"/>
    </xf>
    <xf numFmtId="170" fontId="27" fillId="3" borderId="15" xfId="0" applyNumberFormat="1" applyFont="1" applyFill="1" applyBorder="1" applyAlignment="1" applyProtection="1">
      <alignment horizontal="center" vertical="center"/>
      <protection hidden="1"/>
    </xf>
    <xf numFmtId="170" fontId="27" fillId="3" borderId="17" xfId="0" applyNumberFormat="1" applyFont="1" applyFill="1" applyBorder="1" applyAlignment="1" applyProtection="1">
      <alignment horizontal="center" vertical="center"/>
      <protection hidden="1"/>
    </xf>
    <xf numFmtId="0" fontId="11" fillId="0" borderId="16" xfId="0" applyFont="1" applyBorder="1" applyAlignment="1" applyProtection="1">
      <alignment horizontal="center" vertical="center"/>
      <protection hidden="1"/>
    </xf>
    <xf numFmtId="0" fontId="11" fillId="0" borderId="15" xfId="0" applyFont="1" applyBorder="1" applyAlignment="1" applyProtection="1">
      <alignment horizontal="center" vertical="center"/>
      <protection hidden="1"/>
    </xf>
    <xf numFmtId="0" fontId="7" fillId="0" borderId="15" xfId="8" applyFont="1" applyBorder="1" applyAlignment="1" applyProtection="1">
      <alignment horizontal="left"/>
      <protection hidden="1"/>
    </xf>
    <xf numFmtId="0" fontId="7" fillId="0" borderId="17" xfId="8" applyFont="1" applyBorder="1" applyAlignment="1" applyProtection="1">
      <alignment horizontal="left"/>
      <protection hidden="1"/>
    </xf>
    <xf numFmtId="0" fontId="7" fillId="0" borderId="10" xfId="8" applyFont="1" applyBorder="1" applyAlignment="1" applyProtection="1">
      <alignment horizontal="left"/>
      <protection hidden="1"/>
    </xf>
    <xf numFmtId="3" fontId="7" fillId="0" borderId="15" xfId="8" applyNumberFormat="1" applyFont="1" applyBorder="1" applyAlignment="1" applyProtection="1">
      <alignment horizontal="center" vertical="center"/>
      <protection hidden="1"/>
    </xf>
    <xf numFmtId="3" fontId="27" fillId="10" borderId="44" xfId="7" applyNumberFormat="1" applyFont="1" applyFill="1" applyBorder="1" applyAlignment="1" applyProtection="1">
      <alignment horizontal="center" vertical="center"/>
      <protection hidden="1"/>
    </xf>
    <xf numFmtId="3" fontId="27" fillId="10" borderId="45" xfId="7" applyNumberFormat="1" applyFont="1" applyFill="1" applyBorder="1" applyAlignment="1" applyProtection="1">
      <alignment horizontal="center" vertical="center"/>
      <protection hidden="1"/>
    </xf>
    <xf numFmtId="3" fontId="27" fillId="10" borderId="14" xfId="7" applyNumberFormat="1" applyFont="1" applyFill="1" applyBorder="1" applyAlignment="1" applyProtection="1">
      <alignment horizontal="center" vertical="center"/>
      <protection hidden="1"/>
    </xf>
    <xf numFmtId="3" fontId="28" fillId="10" borderId="44" xfId="0" applyNumberFormat="1" applyFont="1" applyFill="1" applyBorder="1" applyAlignment="1" applyProtection="1">
      <alignment horizontal="center" vertical="center"/>
      <protection hidden="1"/>
    </xf>
    <xf numFmtId="3" fontId="28" fillId="10" borderId="45" xfId="0" applyNumberFormat="1" applyFont="1" applyFill="1" applyBorder="1" applyAlignment="1" applyProtection="1">
      <alignment horizontal="center" vertical="center"/>
      <protection hidden="1"/>
    </xf>
    <xf numFmtId="3" fontId="28" fillId="10" borderId="46" xfId="0" applyNumberFormat="1" applyFont="1" applyFill="1" applyBorder="1" applyAlignment="1" applyProtection="1">
      <alignment horizontal="center" vertical="center"/>
      <protection hidden="1"/>
    </xf>
    <xf numFmtId="0" fontId="9" fillId="0" borderId="44" xfId="0" applyFont="1" applyBorder="1" applyAlignment="1" applyProtection="1">
      <alignment horizontal="center" vertical="center"/>
      <protection hidden="1"/>
    </xf>
    <xf numFmtId="0" fontId="9" fillId="0" borderId="45" xfId="0" applyFont="1" applyBorder="1" applyAlignment="1" applyProtection="1">
      <alignment horizontal="center" vertical="center"/>
      <protection hidden="1"/>
    </xf>
    <xf numFmtId="0" fontId="9" fillId="0" borderId="46" xfId="0" applyFont="1" applyBorder="1" applyAlignment="1" applyProtection="1">
      <alignment horizontal="center" vertical="center"/>
      <protection hidden="1"/>
    </xf>
    <xf numFmtId="0" fontId="27" fillId="0" borderId="44" xfId="0" applyFont="1" applyBorder="1" applyAlignment="1" applyProtection="1">
      <alignment horizontal="center" vertical="center"/>
      <protection hidden="1"/>
    </xf>
    <xf numFmtId="0" fontId="27" fillId="0" borderId="45" xfId="0" applyFont="1" applyBorder="1" applyAlignment="1" applyProtection="1">
      <alignment horizontal="center" vertical="center"/>
      <protection hidden="1"/>
    </xf>
    <xf numFmtId="0" fontId="27" fillId="0" borderId="46" xfId="0" applyFont="1" applyBorder="1" applyAlignment="1" applyProtection="1">
      <alignment horizontal="center" vertical="center"/>
      <protection hidden="1"/>
    </xf>
    <xf numFmtId="3" fontId="27" fillId="10" borderId="16" xfId="7" applyNumberFormat="1" applyFont="1" applyFill="1" applyBorder="1" applyAlignment="1" applyProtection="1">
      <alignment vertical="center"/>
      <protection hidden="1"/>
    </xf>
    <xf numFmtId="3" fontId="27" fillId="10" borderId="15" xfId="7" applyNumberFormat="1" applyFont="1" applyFill="1" applyBorder="1" applyAlignment="1" applyProtection="1">
      <alignment vertical="center"/>
      <protection hidden="1"/>
    </xf>
    <xf numFmtId="3" fontId="27" fillId="10" borderId="10" xfId="7" applyNumberFormat="1" applyFont="1" applyFill="1" applyBorder="1" applyAlignment="1" applyProtection="1">
      <alignment vertical="center"/>
      <protection hidden="1"/>
    </xf>
    <xf numFmtId="3" fontId="27" fillId="11" borderId="16" xfId="0" applyNumberFormat="1" applyFont="1" applyFill="1" applyBorder="1" applyAlignment="1" applyProtection="1">
      <alignment horizontal="right" vertical="center"/>
      <protection hidden="1"/>
    </xf>
    <xf numFmtId="3" fontId="27" fillId="11" borderId="15" xfId="0" applyNumberFormat="1" applyFont="1" applyFill="1" applyBorder="1" applyAlignment="1" applyProtection="1">
      <alignment horizontal="right" vertical="center"/>
      <protection hidden="1"/>
    </xf>
    <xf numFmtId="3" fontId="27" fillId="11" borderId="10" xfId="0" applyNumberFormat="1" applyFont="1" applyFill="1" applyBorder="1" applyAlignment="1" applyProtection="1">
      <alignment horizontal="right" vertical="center"/>
      <protection hidden="1"/>
    </xf>
    <xf numFmtId="0" fontId="7" fillId="0" borderId="15" xfId="8" applyFont="1" applyBorder="1" applyAlignment="1" applyProtection="1">
      <alignment horizontal="left" vertical="center"/>
      <protection hidden="1"/>
    </xf>
    <xf numFmtId="0" fontId="7" fillId="0" borderId="10" xfId="8" applyFont="1" applyBorder="1" applyAlignment="1" applyProtection="1">
      <alignment horizontal="left" vertical="center"/>
      <protection hidden="1"/>
    </xf>
    <xf numFmtId="9" fontId="20" fillId="6" borderId="5" xfId="12" applyFont="1" applyFill="1" applyBorder="1" applyAlignment="1" applyProtection="1">
      <alignment horizontal="center" vertical="center"/>
      <protection hidden="1"/>
    </xf>
    <xf numFmtId="0" fontId="9" fillId="0" borderId="29" xfId="0" applyFont="1" applyBorder="1" applyAlignment="1" applyProtection="1">
      <alignment horizontal="center" vertical="top"/>
      <protection hidden="1"/>
    </xf>
    <xf numFmtId="0" fontId="9" fillId="0" borderId="24" xfId="0" applyFont="1" applyBorder="1" applyAlignment="1" applyProtection="1">
      <alignment horizontal="center" vertical="top"/>
      <protection hidden="1"/>
    </xf>
    <xf numFmtId="0" fontId="9" fillId="0" borderId="30" xfId="0" applyFont="1" applyBorder="1" applyAlignment="1" applyProtection="1">
      <alignment horizontal="center" vertical="top"/>
      <protection hidden="1"/>
    </xf>
    <xf numFmtId="0" fontId="9" fillId="0" borderId="38" xfId="0" applyFont="1" applyBorder="1" applyAlignment="1" applyProtection="1">
      <alignment horizontal="center" vertical="top"/>
      <protection hidden="1"/>
    </xf>
    <xf numFmtId="0" fontId="9" fillId="0" borderId="0" xfId="0" applyFont="1" applyAlignment="1" applyProtection="1">
      <alignment horizontal="center" vertical="top"/>
      <protection hidden="1"/>
    </xf>
    <xf numFmtId="0" fontId="9" fillId="0" borderId="39" xfId="0" applyFont="1" applyBorder="1" applyAlignment="1" applyProtection="1">
      <alignment horizontal="center" vertical="top"/>
      <protection hidden="1"/>
    </xf>
    <xf numFmtId="0" fontId="9" fillId="0" borderId="27" xfId="0" applyFont="1" applyBorder="1" applyAlignment="1" applyProtection="1">
      <alignment horizontal="center" vertical="top"/>
      <protection hidden="1"/>
    </xf>
    <xf numFmtId="0" fontId="9" fillId="0" borderId="28" xfId="0" applyFont="1" applyBorder="1" applyAlignment="1" applyProtection="1">
      <alignment horizontal="center" vertical="top"/>
      <protection hidden="1"/>
    </xf>
    <xf numFmtId="0" fontId="9" fillId="0" borderId="34" xfId="0" applyFont="1" applyBorder="1" applyAlignment="1" applyProtection="1">
      <alignment horizontal="center" vertical="top"/>
      <protection hidden="1"/>
    </xf>
    <xf numFmtId="0" fontId="9" fillId="0" borderId="30" xfId="0" applyFont="1" applyBorder="1" applyAlignment="1" applyProtection="1">
      <alignment horizontal="left" vertical="top"/>
      <protection hidden="1"/>
    </xf>
    <xf numFmtId="0" fontId="9" fillId="0" borderId="5" xfId="0" applyFont="1" applyBorder="1" applyAlignment="1" applyProtection="1">
      <alignment horizontal="center" vertical="top"/>
      <protection hidden="1"/>
    </xf>
    <xf numFmtId="0" fontId="9" fillId="0" borderId="20" xfId="0" applyFont="1" applyBorder="1" applyAlignment="1" applyProtection="1">
      <alignment horizontal="center" vertical="top"/>
      <protection hidden="1"/>
    </xf>
    <xf numFmtId="0" fontId="10" fillId="6" borderId="5" xfId="0" applyFont="1" applyFill="1" applyBorder="1" applyAlignment="1" applyProtection="1">
      <alignment horizontal="center" vertical="center"/>
      <protection hidden="1"/>
    </xf>
    <xf numFmtId="0" fontId="34" fillId="9" borderId="0" xfId="0" applyFont="1" applyFill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/>
      <protection hidden="1"/>
    </xf>
  </cellXfs>
  <cellStyles count="145">
    <cellStyle name="Comma" xfId="4" xr:uid="{00000000-0005-0000-0000-000004000000}"/>
    <cellStyle name="Comma [0]" xfId="5" xr:uid="{00000000-0005-0000-0000-000005000000}"/>
    <cellStyle name="Comma [0] 2" xfId="123" xr:uid="{00000000-0005-0000-0000-00007B000000}"/>
    <cellStyle name="Comma 2" xfId="122" xr:uid="{00000000-0005-0000-0000-00007A000000}"/>
    <cellStyle name="Comma 3" xfId="143" xr:uid="{00000000-0005-0000-0000-00008F000000}"/>
    <cellStyle name="Comma 4" xfId="129" xr:uid="{00000000-0005-0000-0000-000081000000}"/>
    <cellStyle name="Currency" xfId="2" xr:uid="{00000000-0005-0000-0000-000002000000}"/>
    <cellStyle name="Currency [0]" xfId="3" xr:uid="{00000000-0005-0000-0000-000003000000}"/>
    <cellStyle name="Currency [0] 2" xfId="121" xr:uid="{00000000-0005-0000-0000-000079000000}"/>
    <cellStyle name="Currency 2" xfId="120" xr:uid="{00000000-0005-0000-0000-000078000000}"/>
    <cellStyle name="Currency 3" xfId="142" xr:uid="{00000000-0005-0000-0000-00008E000000}"/>
    <cellStyle name="Currency 4" xfId="141" xr:uid="{00000000-0005-0000-0000-00008D000000}"/>
    <cellStyle name="Hipervínculo" xfId="13" xr:uid="{00000000-0005-0000-0000-00000D000000}"/>
    <cellStyle name="Hipervínculo 2" xfId="77" xr:uid="{00000000-0005-0000-0000-00004D000000}"/>
    <cellStyle name="Hyperlink 2" xfId="6" xr:uid="{00000000-0005-0000-0000-000006000000}"/>
    <cellStyle name="Millares" xfId="14" xr:uid="{00000000-0005-0000-0000-00000E000000}"/>
    <cellStyle name="Millares [0]" xfId="37" xr:uid="{00000000-0005-0000-0000-000025000000}"/>
    <cellStyle name="Millares [0] 2" xfId="22" xr:uid="{00000000-0005-0000-0000-000016000000}"/>
    <cellStyle name="Millares [0] 2 2" xfId="34" xr:uid="{00000000-0005-0000-0000-000022000000}"/>
    <cellStyle name="Millares [0] 2 2 2" xfId="91" xr:uid="{00000000-0005-0000-0000-00005B000000}"/>
    <cellStyle name="Millares [0] 2 2 2 2" xfId="135" xr:uid="{00000000-0005-0000-0000-000087000000}"/>
    <cellStyle name="Millares [0] 2 2 3" xfId="115" xr:uid="{00000000-0005-0000-0000-000073000000}"/>
    <cellStyle name="Millares [0] 2 2 4" xfId="69" xr:uid="{00000000-0005-0000-0000-000045000000}"/>
    <cellStyle name="Millares [0] 2 3" xfId="31" xr:uid="{00000000-0005-0000-0000-00001F000000}"/>
    <cellStyle name="Millares [0] 2 3 2" xfId="132" xr:uid="{00000000-0005-0000-0000-000084000000}"/>
    <cellStyle name="Millares [0] 2 3 3" xfId="88" xr:uid="{00000000-0005-0000-0000-000058000000}"/>
    <cellStyle name="Millares [0] 2 4" xfId="84" xr:uid="{00000000-0005-0000-0000-000054000000}"/>
    <cellStyle name="Millares [0] 2 4 2" xfId="130" xr:uid="{00000000-0005-0000-0000-000082000000}"/>
    <cellStyle name="Millares [0] 2 5" xfId="104" xr:uid="{00000000-0005-0000-0000-000068000000}"/>
    <cellStyle name="Millares [0] 2 6" xfId="53" xr:uid="{00000000-0005-0000-0000-000035000000}"/>
    <cellStyle name="Millares [0] 3" xfId="18" xr:uid="{00000000-0005-0000-0000-000012000000}"/>
    <cellStyle name="Millares [0] 3 2" xfId="111" xr:uid="{00000000-0005-0000-0000-00006F000000}"/>
    <cellStyle name="Millares [0] 3 3" xfId="65" xr:uid="{00000000-0005-0000-0000-000041000000}"/>
    <cellStyle name="Millares [0] 4" xfId="94" xr:uid="{00000000-0005-0000-0000-00005E000000}"/>
    <cellStyle name="Millares [0] 4 2" xfId="138" xr:uid="{00000000-0005-0000-0000-00008A000000}"/>
    <cellStyle name="Millares 10" xfId="108" xr:uid="{00000000-0005-0000-0000-00006C000000}"/>
    <cellStyle name="Millares 11" xfId="127" xr:uid="{00000000-0005-0000-0000-00007F000000}"/>
    <cellStyle name="Millares 12" xfId="39" xr:uid="{00000000-0005-0000-0000-000027000000}"/>
    <cellStyle name="Millares 13" xfId="54" xr:uid="{00000000-0005-0000-0000-000036000000}"/>
    <cellStyle name="Millares 14" xfId="144" xr:uid="{00000000-0005-0000-0000-000090000000}"/>
    <cellStyle name="Millares 2" xfId="25" xr:uid="{00000000-0005-0000-0000-000019000000}"/>
    <cellStyle name="Millares 2 2" xfId="7" xr:uid="{00000000-0005-0000-0000-000007000000}"/>
    <cellStyle name="Millares 2 2 2" xfId="32" xr:uid="{00000000-0005-0000-0000-000020000000}"/>
    <cellStyle name="Millares 2 2 2 2" xfId="133" xr:uid="{00000000-0005-0000-0000-000085000000}"/>
    <cellStyle name="Millares 2 2 2 3" xfId="89" xr:uid="{00000000-0005-0000-0000-000059000000}"/>
    <cellStyle name="Millares 2 2 3" xfId="74" xr:uid="{00000000-0005-0000-0000-00004A000000}"/>
    <cellStyle name="Millares 2 2 3 2" xfId="124" xr:uid="{00000000-0005-0000-0000-00007C000000}"/>
    <cellStyle name="Millares 2 2 4" xfId="105" xr:uid="{00000000-0005-0000-0000-000069000000}"/>
    <cellStyle name="Millares 2 2 5" xfId="58" xr:uid="{00000000-0005-0000-0000-00003A000000}"/>
    <cellStyle name="Millares 2 3" xfId="35" xr:uid="{00000000-0005-0000-0000-000023000000}"/>
    <cellStyle name="Millares 2 3 2" xfId="136" xr:uid="{00000000-0005-0000-0000-000088000000}"/>
    <cellStyle name="Millares 2 3 3" xfId="92" xr:uid="{00000000-0005-0000-0000-00005C000000}"/>
    <cellStyle name="Millares 2 4" xfId="85" xr:uid="{00000000-0005-0000-0000-000055000000}"/>
    <cellStyle name="Millares 2 5" xfId="98" xr:uid="{00000000-0005-0000-0000-000062000000}"/>
    <cellStyle name="Millares 2 6" xfId="47" xr:uid="{00000000-0005-0000-0000-00002F000000}"/>
    <cellStyle name="Millares 3" xfId="16" xr:uid="{00000000-0005-0000-0000-000010000000}"/>
    <cellStyle name="Millares 3 2" xfId="52" xr:uid="{00000000-0005-0000-0000-000034000000}"/>
    <cellStyle name="Millares 3 2 2" xfId="68" xr:uid="{00000000-0005-0000-0000-000044000000}"/>
    <cellStyle name="Millares 3 2 2 2" xfId="114" xr:uid="{00000000-0005-0000-0000-000072000000}"/>
    <cellStyle name="Millares 3 2 3" xfId="103" xr:uid="{00000000-0005-0000-0000-000067000000}"/>
    <cellStyle name="Millares 3 3" xfId="64" xr:uid="{00000000-0005-0000-0000-000040000000}"/>
    <cellStyle name="Millares 3 3 2" xfId="110" xr:uid="{00000000-0005-0000-0000-00006E000000}"/>
    <cellStyle name="Millares 3 4" xfId="20" xr:uid="{00000000-0005-0000-0000-000014000000}"/>
    <cellStyle name="Millares 3 5" xfId="80" xr:uid="{00000000-0005-0000-0000-000050000000}"/>
    <cellStyle name="Millares 3 6" xfId="42" xr:uid="{00000000-0005-0000-0000-00002A000000}"/>
    <cellStyle name="Millares 4" xfId="50" xr:uid="{00000000-0005-0000-0000-000032000000}"/>
    <cellStyle name="Millares 4 2" xfId="66" xr:uid="{00000000-0005-0000-0000-000042000000}"/>
    <cellStyle name="Millares 4 2 2" xfId="112" xr:uid="{00000000-0005-0000-0000-000070000000}"/>
    <cellStyle name="Millares 4 3" xfId="101" xr:uid="{00000000-0005-0000-0000-000065000000}"/>
    <cellStyle name="Millares 5" xfId="41" xr:uid="{00000000-0005-0000-0000-000029000000}"/>
    <cellStyle name="Millares 5 2" xfId="51" xr:uid="{00000000-0005-0000-0000-000033000000}"/>
    <cellStyle name="Millares 5 2 2" xfId="67" xr:uid="{00000000-0005-0000-0000-000043000000}"/>
    <cellStyle name="Millares 5 2 2 2" xfId="113" xr:uid="{00000000-0005-0000-0000-000071000000}"/>
    <cellStyle name="Millares 5 2 3" xfId="102" xr:uid="{00000000-0005-0000-0000-000066000000}"/>
    <cellStyle name="Millares 5 3" xfId="63" xr:uid="{00000000-0005-0000-0000-00003F000000}"/>
    <cellStyle name="Millares 5 3 2" xfId="109" xr:uid="{00000000-0005-0000-0000-00006D000000}"/>
    <cellStyle name="Millares 6" xfId="61" xr:uid="{00000000-0005-0000-0000-00003D000000}"/>
    <cellStyle name="Millares 6 2" xfId="73" xr:uid="{00000000-0005-0000-0000-000049000000}"/>
    <cellStyle name="Millares 6 2 2" xfId="119" xr:uid="{00000000-0005-0000-0000-000077000000}"/>
    <cellStyle name="Millares 6 3" xfId="107" xr:uid="{00000000-0005-0000-0000-00006B000000}"/>
    <cellStyle name="Millares 7" xfId="70" xr:uid="{00000000-0005-0000-0000-000046000000}"/>
    <cellStyle name="Millares 7 2" xfId="116" xr:uid="{00000000-0005-0000-0000-000074000000}"/>
    <cellStyle name="Millares 8" xfId="78" xr:uid="{00000000-0005-0000-0000-00004E000000}"/>
    <cellStyle name="Millares 8 2" xfId="126" xr:uid="{00000000-0005-0000-0000-00007E000000}"/>
    <cellStyle name="Millares 9" xfId="97" xr:uid="{00000000-0005-0000-0000-000061000000}"/>
    <cellStyle name="Moneda" xfId="11" xr:uid="{00000000-0005-0000-0000-00000B000000}"/>
    <cellStyle name="Moneda [0]" xfId="38" xr:uid="{00000000-0005-0000-0000-000026000000}"/>
    <cellStyle name="Moneda [0] 2" xfId="19" xr:uid="{00000000-0005-0000-0000-000013000000}"/>
    <cellStyle name="Moneda [0] 2 2" xfId="128" xr:uid="{00000000-0005-0000-0000-000080000000}"/>
    <cellStyle name="Moneda [0] 2 3" xfId="82" xr:uid="{00000000-0005-0000-0000-000052000000}"/>
    <cellStyle name="Moneda [0] 3" xfId="95" xr:uid="{00000000-0005-0000-0000-00005F000000}"/>
    <cellStyle name="Moneda [0] 3 2" xfId="139" xr:uid="{00000000-0005-0000-0000-00008B000000}"/>
    <cellStyle name="Moneda 2" xfId="15" xr:uid="{00000000-0005-0000-0000-00000F000000}"/>
    <cellStyle name="Moneda 2 2" xfId="33" xr:uid="{00000000-0005-0000-0000-000021000000}"/>
    <cellStyle name="Moneda 2 2 2" xfId="90" xr:uid="{00000000-0005-0000-0000-00005A000000}"/>
    <cellStyle name="Moneda 2 2 2 2" xfId="134" xr:uid="{00000000-0005-0000-0000-000086000000}"/>
    <cellStyle name="Moneda 2 2 3" xfId="106" xr:uid="{00000000-0005-0000-0000-00006A000000}"/>
    <cellStyle name="Moneda 2 2 4" xfId="59" xr:uid="{00000000-0005-0000-0000-00003B000000}"/>
    <cellStyle name="Moneda 2 3" xfId="36" xr:uid="{00000000-0005-0000-0000-000024000000}"/>
    <cellStyle name="Moneda 2 3 2" xfId="137" xr:uid="{00000000-0005-0000-0000-000089000000}"/>
    <cellStyle name="Moneda 2 3 3" xfId="93" xr:uid="{00000000-0005-0000-0000-00005D000000}"/>
    <cellStyle name="Moneda 2 4" xfId="79" xr:uid="{00000000-0005-0000-0000-00004F000000}"/>
    <cellStyle name="Moneda 2 5" xfId="99" xr:uid="{00000000-0005-0000-0000-000063000000}"/>
    <cellStyle name="Moneda 2 6" xfId="48" xr:uid="{00000000-0005-0000-0000-000030000000}"/>
    <cellStyle name="Moneda 3" xfId="30" xr:uid="{00000000-0005-0000-0000-00001E000000}"/>
    <cellStyle name="Moneda 3 2" xfId="87" xr:uid="{00000000-0005-0000-0000-000057000000}"/>
    <cellStyle name="Moneda 3 2 2" xfId="131" xr:uid="{00000000-0005-0000-0000-000083000000}"/>
    <cellStyle name="Moneda 3 3" xfId="118" xr:uid="{00000000-0005-0000-0000-000076000000}"/>
    <cellStyle name="Moneda 3 4" xfId="72" xr:uid="{00000000-0005-0000-0000-000048000000}"/>
    <cellStyle name="Moneda 4" xfId="96" xr:uid="{00000000-0005-0000-0000-000060000000}"/>
    <cellStyle name="Moneda 4 2" xfId="140" xr:uid="{00000000-0005-0000-0000-00008C000000}"/>
    <cellStyle name="Moneda 5" xfId="76" xr:uid="{00000000-0005-0000-0000-00004C000000}"/>
    <cellStyle name="Moneda 5 2" xfId="125" xr:uid="{00000000-0005-0000-0000-00007D000000}"/>
    <cellStyle name="Normal" xfId="0" builtinId="0"/>
    <cellStyle name="Normal 12" xfId="26" xr:uid="{00000000-0005-0000-0000-00001A000000}"/>
    <cellStyle name="Normal 2" xfId="10" xr:uid="{00000000-0005-0000-0000-00000A000000}"/>
    <cellStyle name="Normal 2 2" xfId="9" xr:uid="{00000000-0005-0000-0000-000009000000}"/>
    <cellStyle name="Normal 2 2 2" xfId="23" xr:uid="{00000000-0005-0000-0000-000017000000}"/>
    <cellStyle name="Normal 2 2 3" xfId="29" xr:uid="{00000000-0005-0000-0000-00001D000000}"/>
    <cellStyle name="Normal 2 2 3 2" xfId="43" xr:uid="{00000000-0005-0000-0000-00002B000000}"/>
    <cellStyle name="Normal 2 3" xfId="75" xr:uid="{00000000-0005-0000-0000-00004B000000}"/>
    <cellStyle name="Normal 2 4" xfId="27" xr:uid="{00000000-0005-0000-0000-00001B000000}"/>
    <cellStyle name="Normal 3" xfId="8" xr:uid="{00000000-0005-0000-0000-000008000000}"/>
    <cellStyle name="Normal 3 2" xfId="24" xr:uid="{00000000-0005-0000-0000-000018000000}"/>
    <cellStyle name="Normal 4" xfId="21" xr:uid="{00000000-0005-0000-0000-000015000000}"/>
    <cellStyle name="Normal 4 2" xfId="55" xr:uid="{00000000-0005-0000-0000-000037000000}"/>
    <cellStyle name="Normal 4 3" xfId="83" xr:uid="{00000000-0005-0000-0000-000053000000}"/>
    <cellStyle name="Normal 4 4" xfId="44" xr:uid="{00000000-0005-0000-0000-00002C000000}"/>
    <cellStyle name="Normal 5" xfId="45" xr:uid="{00000000-0005-0000-0000-00002D000000}"/>
    <cellStyle name="Normal 5 2" xfId="56" xr:uid="{00000000-0005-0000-0000-000038000000}"/>
    <cellStyle name="Normal 6" xfId="46" xr:uid="{00000000-0005-0000-0000-00002E000000}"/>
    <cellStyle name="Normal 6 2" xfId="57" xr:uid="{00000000-0005-0000-0000-000039000000}"/>
    <cellStyle name="Normal 7" xfId="40" xr:uid="{00000000-0005-0000-0000-000028000000}"/>
    <cellStyle name="Normal 8" xfId="28" xr:uid="{00000000-0005-0000-0000-00001C000000}"/>
    <cellStyle name="Normal 8 2" xfId="71" xr:uid="{00000000-0005-0000-0000-000047000000}"/>
    <cellStyle name="Normal 8 2 2" xfId="117" xr:uid="{00000000-0005-0000-0000-000075000000}"/>
    <cellStyle name="Normal 8 3" xfId="86" xr:uid="{00000000-0005-0000-0000-000056000000}"/>
    <cellStyle name="Normal 8 4" xfId="100" xr:uid="{00000000-0005-0000-0000-000064000000}"/>
    <cellStyle name="Normal 8 5" xfId="49" xr:uid="{00000000-0005-0000-0000-000031000000}"/>
    <cellStyle name="Normal 9" xfId="60" xr:uid="{00000000-0005-0000-0000-00003C000000}"/>
    <cellStyle name="Percent" xfId="1" xr:uid="{00000000-0005-0000-0000-000001000000}"/>
    <cellStyle name="Porcentaje" xfId="12" xr:uid="{00000000-0005-0000-0000-00000C000000}"/>
    <cellStyle name="Porcentaje 2" xfId="17" xr:uid="{00000000-0005-0000-0000-000011000000}"/>
    <cellStyle name="Porcentaje 2 2" xfId="81" xr:uid="{00000000-0005-0000-0000-000051000000}"/>
    <cellStyle name="Porcentaje 2 3" xfId="62" xr:uid="{00000000-0005-0000-0000-00003E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2.wdp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163945</xdr:colOff>
      <xdr:row>15</xdr:row>
      <xdr:rowOff>69850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duotone>
            <a:schemeClr val="bg2">
              <a:shade val="45000"/>
              <a:satMod val="135000"/>
            </a:schemeClr>
            <a:prstClr val="white"/>
          </a:duotone>
          <a:alphaModFix amt="3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5300"/>
                  </a14:imgEffect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1724025" cy="2924175"/>
        </a:xfrm>
        <a:prstGeom prst="rect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30725</xdr:colOff>
      <xdr:row>14</xdr:row>
      <xdr:rowOff>0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>
          <a:grpSpLocks/>
        </xdr:cNvGrpSpPr>
      </xdr:nvGrpSpPr>
      <xdr:grpSpPr bwMode="auto">
        <a:xfrm>
          <a:off x="0" y="0"/>
          <a:ext cx="5626663" cy="3022356"/>
          <a:chOff x="0" y="0"/>
          <a:chExt cx="26153" cy="10800"/>
        </a:xfrm>
      </xdr:grpSpPr>
      <xdr:pic>
        <xdr:nvPicPr>
          <xdr:cNvPr id="7" name="Picture 3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0" y="0"/>
            <a:ext cx="15228" cy="108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8" name="Picture 4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duotone>
              <a:schemeClr val="bg2">
                <a:shade val="45000"/>
                <a:satMod val="135000"/>
              </a:schemeClr>
              <a:prstClr val="white"/>
            </a:duotone>
            <a:alphaModFix amt="35000"/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colorTemperature colorTemp="5300"/>
                    </a14:imgEffect>
                    <a14:imgEffect>
                      <a14:saturation sat="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0" y="0"/>
            <a:ext cx="26153" cy="10800"/>
          </a:xfrm>
          <a:prstGeom prst="rect">
            <a:avLst/>
          </a:prstGeom>
          <a:ln>
            <a:noFill/>
          </a:ln>
          <a:effectLst>
            <a:softEdge rad="11250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marquezo_geb_com_co1/Documents/Revisoria%20Fiscal/GEB/2024/9%20Septiembre/Ingresos/Version%202/6_MACRO%20INGRESOS%20GEB%20JUNIO%20V2.xlsm" TargetMode="External"/><Relationship Id="rId1" Type="http://schemas.openxmlformats.org/officeDocument/2006/relationships/externalLinkPath" Target="/personal/dmarquezo_geb_com_co1/Documents/Revisoria%20Fiscal/GEB/2024/9%20Septiembre/Ingresos/Version%202/6_MACRO%20INGRESOS%20GEB%20JUNIO%20V2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ocumentos\Investment%20Banking\KKazanci\Old%20materials\Models\BDK_Debt%20Capacity%20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rowe2018-my.sharepoint.com/Users/U6066899/Downloads/FORMULARIO%20UNICO%20ICA%20VIGENCIA%202018%20GDOT%20V3%20(Excel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ME"/>
      <sheetName val="Macro1"/>
      <sheetName val="INGRESOS"/>
      <sheetName val="BASE"/>
      <sheetName val="BASE2"/>
      <sheetName val="CUENTAS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Cuenta de mayor</v>
          </cell>
          <cell r="M1" t="str">
            <v>Valor de moneda de sociedad</v>
          </cell>
          <cell r="AR1" t="str">
            <v>Clave referencia 2</v>
          </cell>
        </row>
        <row r="2">
          <cell r="A2" t="str">
            <v>4105100100</v>
          </cell>
          <cell r="M2">
            <v>-402566076</v>
          </cell>
          <cell r="AR2" t="str">
            <v>66001</v>
          </cell>
        </row>
        <row r="3">
          <cell r="A3" t="str">
            <v>4105100100</v>
          </cell>
          <cell r="M3">
            <v>-1138826391</v>
          </cell>
          <cell r="AR3" t="str">
            <v>66001</v>
          </cell>
        </row>
        <row r="4">
          <cell r="A4" t="str">
            <v>4105100100</v>
          </cell>
          <cell r="M4">
            <v>278290324</v>
          </cell>
          <cell r="AR4" t="str">
            <v>76001</v>
          </cell>
        </row>
        <row r="5">
          <cell r="A5" t="str">
            <v>4105100100</v>
          </cell>
          <cell r="M5">
            <v>105789086</v>
          </cell>
          <cell r="AR5" t="str">
            <v>15690</v>
          </cell>
        </row>
        <row r="6">
          <cell r="A6" t="str">
            <v>4105100100</v>
          </cell>
          <cell r="M6">
            <v>1457370235</v>
          </cell>
          <cell r="AR6" t="str">
            <v>25736</v>
          </cell>
        </row>
        <row r="7">
          <cell r="A7" t="str">
            <v>4105100100</v>
          </cell>
          <cell r="M7">
            <v>1197113562</v>
          </cell>
          <cell r="AR7" t="str">
            <v>76001</v>
          </cell>
        </row>
        <row r="8">
          <cell r="A8" t="str">
            <v>4105100100</v>
          </cell>
          <cell r="M8">
            <v>1602481555</v>
          </cell>
          <cell r="AR8" t="str">
            <v>76001</v>
          </cell>
        </row>
        <row r="9">
          <cell r="A9" t="str">
            <v>4105100100</v>
          </cell>
          <cell r="M9">
            <v>-384048955</v>
          </cell>
          <cell r="AR9" t="str">
            <v>25736</v>
          </cell>
        </row>
        <row r="10">
          <cell r="A10" t="str">
            <v>4105100100</v>
          </cell>
          <cell r="M10">
            <v>707208634</v>
          </cell>
          <cell r="AR10" t="str">
            <v>44847</v>
          </cell>
        </row>
        <row r="11">
          <cell r="A11" t="str">
            <v>4105100100</v>
          </cell>
          <cell r="M11">
            <v>1481562024</v>
          </cell>
          <cell r="AR11" t="str">
            <v>44847</v>
          </cell>
        </row>
        <row r="12">
          <cell r="A12" t="str">
            <v>4105100100</v>
          </cell>
          <cell r="M12">
            <v>-1113784426</v>
          </cell>
          <cell r="AR12" t="str">
            <v>25736</v>
          </cell>
        </row>
        <row r="13">
          <cell r="A13" t="str">
            <v>4105100100</v>
          </cell>
          <cell r="M13">
            <v>24357822</v>
          </cell>
          <cell r="AR13" t="str">
            <v>15690</v>
          </cell>
        </row>
        <row r="14">
          <cell r="A14" t="str">
            <v>4105100100</v>
          </cell>
          <cell r="M14">
            <v>-486328546</v>
          </cell>
          <cell r="AR14" t="str">
            <v>20250</v>
          </cell>
        </row>
        <row r="15">
          <cell r="A15" t="str">
            <v>4105100100</v>
          </cell>
          <cell r="M15">
            <v>1481562024</v>
          </cell>
          <cell r="AR15" t="str">
            <v>44035</v>
          </cell>
        </row>
        <row r="16">
          <cell r="A16" t="str">
            <v>4105100100</v>
          </cell>
          <cell r="M16">
            <v>-1107557936</v>
          </cell>
          <cell r="AR16" t="str">
            <v>76001</v>
          </cell>
        </row>
        <row r="17">
          <cell r="A17" t="str">
            <v>4105100100</v>
          </cell>
          <cell r="M17">
            <v>-278457047</v>
          </cell>
          <cell r="AR17" t="str">
            <v>76001</v>
          </cell>
        </row>
        <row r="18">
          <cell r="A18" t="str">
            <v>4105100100</v>
          </cell>
          <cell r="M18">
            <v>-436950365</v>
          </cell>
          <cell r="AR18" t="str">
            <v>15667</v>
          </cell>
        </row>
        <row r="19">
          <cell r="A19" t="str">
            <v>4105100100</v>
          </cell>
          <cell r="M19">
            <v>-1061816632</v>
          </cell>
          <cell r="AR19" t="str">
            <v>66001</v>
          </cell>
        </row>
        <row r="20">
          <cell r="A20" t="str">
            <v>4105100100</v>
          </cell>
          <cell r="M20">
            <v>-248660176</v>
          </cell>
          <cell r="AR20" t="str">
            <v>25736</v>
          </cell>
        </row>
        <row r="21">
          <cell r="A21" t="str">
            <v>4105100100</v>
          </cell>
          <cell r="M21">
            <v>243476139</v>
          </cell>
          <cell r="AR21" t="str">
            <v>47001</v>
          </cell>
        </row>
        <row r="22">
          <cell r="A22" t="str">
            <v>4105100100</v>
          </cell>
          <cell r="M22">
            <v>1602481555</v>
          </cell>
          <cell r="AR22" t="str">
            <v>66001</v>
          </cell>
        </row>
        <row r="23">
          <cell r="A23" t="str">
            <v>4105100100</v>
          </cell>
          <cell r="M23">
            <v>-162043714</v>
          </cell>
          <cell r="AR23" t="str">
            <v>76892</v>
          </cell>
        </row>
        <row r="24">
          <cell r="A24" t="str">
            <v>4105100100</v>
          </cell>
          <cell r="M24">
            <v>-1195278885</v>
          </cell>
          <cell r="AR24" t="str">
            <v>25736</v>
          </cell>
        </row>
        <row r="25">
          <cell r="A25" t="str">
            <v>4105100100</v>
          </cell>
          <cell r="M25">
            <v>207405600</v>
          </cell>
          <cell r="AR25" t="str">
            <v>47189</v>
          </cell>
        </row>
        <row r="26">
          <cell r="A26" t="str">
            <v>4105100100</v>
          </cell>
          <cell r="M26">
            <v>486211564</v>
          </cell>
          <cell r="AR26" t="str">
            <v>20250</v>
          </cell>
        </row>
        <row r="27">
          <cell r="A27" t="str">
            <v>4105100100</v>
          </cell>
          <cell r="M27">
            <v>-261291037</v>
          </cell>
          <cell r="AR27" t="str">
            <v>47001</v>
          </cell>
        </row>
        <row r="28">
          <cell r="A28" t="str">
            <v>4105100100</v>
          </cell>
          <cell r="M28">
            <v>-334516958</v>
          </cell>
          <cell r="AR28" t="str">
            <v>68092</v>
          </cell>
        </row>
        <row r="29">
          <cell r="A29" t="str">
            <v>4105100100</v>
          </cell>
          <cell r="M29">
            <v>-436950365</v>
          </cell>
          <cell r="AR29" t="str">
            <v>25736</v>
          </cell>
        </row>
        <row r="30">
          <cell r="A30" t="str">
            <v>4105100100</v>
          </cell>
          <cell r="M30">
            <v>-105789086</v>
          </cell>
          <cell r="AR30" t="str">
            <v>15690</v>
          </cell>
        </row>
        <row r="31">
          <cell r="A31" t="str">
            <v>4105100100</v>
          </cell>
          <cell r="M31">
            <v>150995527</v>
          </cell>
          <cell r="AR31" t="str">
            <v>76892</v>
          </cell>
        </row>
        <row r="32">
          <cell r="A32" t="str">
            <v>4105100100</v>
          </cell>
          <cell r="M32">
            <v>-1138826391</v>
          </cell>
          <cell r="AR32" t="str">
            <v>05347</v>
          </cell>
        </row>
        <row r="33">
          <cell r="A33" t="str">
            <v>4105100100</v>
          </cell>
          <cell r="M33">
            <v>-1598401163</v>
          </cell>
          <cell r="AR33" t="str">
            <v>20250</v>
          </cell>
        </row>
        <row r="34">
          <cell r="A34" t="str">
            <v>4105100100</v>
          </cell>
          <cell r="M34">
            <v>-1589966389</v>
          </cell>
          <cell r="AR34" t="str">
            <v>44847</v>
          </cell>
        </row>
        <row r="35">
          <cell r="A35" t="str">
            <v>4105100100</v>
          </cell>
          <cell r="M35">
            <v>-1061816632</v>
          </cell>
          <cell r="AR35" t="str">
            <v>05347</v>
          </cell>
        </row>
        <row r="36">
          <cell r="A36" t="str">
            <v>4105100100</v>
          </cell>
          <cell r="M36">
            <v>-1719733479</v>
          </cell>
          <cell r="AR36" t="str">
            <v>76001</v>
          </cell>
        </row>
        <row r="37">
          <cell r="A37" t="str">
            <v>4105100100</v>
          </cell>
          <cell r="M37">
            <v>-243338058</v>
          </cell>
          <cell r="AR37" t="str">
            <v>47001</v>
          </cell>
        </row>
        <row r="38">
          <cell r="A38" t="str">
            <v>4105100100</v>
          </cell>
          <cell r="M38">
            <v>-1603441600</v>
          </cell>
          <cell r="AR38" t="str">
            <v>76001</v>
          </cell>
        </row>
        <row r="39">
          <cell r="A39" t="str">
            <v>4105100100</v>
          </cell>
          <cell r="M39">
            <v>-758954361</v>
          </cell>
          <cell r="AR39" t="str">
            <v>44847</v>
          </cell>
        </row>
        <row r="40">
          <cell r="A40" t="str">
            <v>4105100100</v>
          </cell>
          <cell r="M40">
            <v>-1197830750</v>
          </cell>
          <cell r="AR40" t="str">
            <v>76001</v>
          </cell>
        </row>
        <row r="41">
          <cell r="A41" t="str">
            <v>4105100100</v>
          </cell>
          <cell r="M41">
            <v>-1564004512</v>
          </cell>
          <cell r="AR41" t="str">
            <v>25736</v>
          </cell>
        </row>
        <row r="42">
          <cell r="A42" t="str">
            <v>4105100100</v>
          </cell>
          <cell r="M42">
            <v>-2148177488</v>
          </cell>
          <cell r="AR42" t="str">
            <v>25736</v>
          </cell>
        </row>
        <row r="43">
          <cell r="A43" t="str">
            <v>4105100100</v>
          </cell>
          <cell r="M43">
            <v>1053054083</v>
          </cell>
          <cell r="AR43" t="str">
            <v>44035</v>
          </cell>
        </row>
        <row r="44">
          <cell r="A44" t="str">
            <v>4105100100</v>
          </cell>
          <cell r="M44">
            <v>-1719733479</v>
          </cell>
          <cell r="AR44" t="str">
            <v>66001</v>
          </cell>
        </row>
        <row r="45">
          <cell r="A45" t="str">
            <v>4105100100</v>
          </cell>
          <cell r="M45">
            <v>-298652540</v>
          </cell>
          <cell r="AR45" t="str">
            <v>76001</v>
          </cell>
        </row>
        <row r="46">
          <cell r="A46" t="str">
            <v>4105100100</v>
          </cell>
          <cell r="M46">
            <v>-521787162</v>
          </cell>
          <cell r="AR46" t="str">
            <v>20250</v>
          </cell>
        </row>
        <row r="47">
          <cell r="A47" t="str">
            <v>4105100100</v>
          </cell>
          <cell r="M47">
            <v>-24357822</v>
          </cell>
          <cell r="AR47" t="str">
            <v>15690</v>
          </cell>
        </row>
        <row r="48">
          <cell r="A48" t="str">
            <v>4105100100</v>
          </cell>
          <cell r="M48">
            <v>-1603441600</v>
          </cell>
          <cell r="AR48" t="str">
            <v>66001</v>
          </cell>
        </row>
        <row r="49">
          <cell r="A49" t="str">
            <v>4105100100</v>
          </cell>
          <cell r="M49">
            <v>248660176</v>
          </cell>
          <cell r="AR49" t="str">
            <v>25736</v>
          </cell>
        </row>
        <row r="50">
          <cell r="A50" t="str">
            <v>4105100100</v>
          </cell>
          <cell r="M50">
            <v>357864387</v>
          </cell>
          <cell r="AR50" t="str">
            <v>25736</v>
          </cell>
        </row>
        <row r="51">
          <cell r="A51" t="str">
            <v>4105100100</v>
          </cell>
          <cell r="M51">
            <v>-357864387</v>
          </cell>
          <cell r="AR51" t="str">
            <v>25736</v>
          </cell>
        </row>
        <row r="52">
          <cell r="A52" t="str">
            <v>4105100100</v>
          </cell>
          <cell r="M52">
            <v>1106894797</v>
          </cell>
          <cell r="AR52" t="str">
            <v>76001</v>
          </cell>
        </row>
        <row r="53">
          <cell r="A53" t="str">
            <v>4105100100</v>
          </cell>
          <cell r="M53">
            <v>-113529565</v>
          </cell>
          <cell r="AR53" t="str">
            <v>15667</v>
          </cell>
        </row>
        <row r="54">
          <cell r="A54" t="str">
            <v>4105100100</v>
          </cell>
          <cell r="M54">
            <v>-1187885148</v>
          </cell>
          <cell r="AR54" t="str">
            <v>76001</v>
          </cell>
        </row>
        <row r="55">
          <cell r="A55" t="str">
            <v>4105100100</v>
          </cell>
          <cell r="M55">
            <v>-2305357420</v>
          </cell>
          <cell r="AR55" t="str">
            <v>68092</v>
          </cell>
        </row>
        <row r="56">
          <cell r="A56" t="str">
            <v>4105100100</v>
          </cell>
          <cell r="M56">
            <v>-1598401163</v>
          </cell>
          <cell r="AR56" t="str">
            <v>44035</v>
          </cell>
        </row>
        <row r="57">
          <cell r="A57" t="str">
            <v>4105100100</v>
          </cell>
          <cell r="M57">
            <v>-151085988</v>
          </cell>
          <cell r="AR57" t="str">
            <v>76892</v>
          </cell>
        </row>
        <row r="58">
          <cell r="A58" t="str">
            <v>4105100100</v>
          </cell>
          <cell r="M58">
            <v>-1107557936</v>
          </cell>
          <cell r="AR58" t="str">
            <v>76892</v>
          </cell>
        </row>
        <row r="59">
          <cell r="A59" t="str">
            <v>4105100100</v>
          </cell>
          <cell r="M59">
            <v>311709495</v>
          </cell>
          <cell r="AR59" t="str">
            <v>68092</v>
          </cell>
        </row>
        <row r="60">
          <cell r="A60" t="str">
            <v>4105100100</v>
          </cell>
          <cell r="M60">
            <v>-105789086</v>
          </cell>
          <cell r="AR60" t="str">
            <v>15667</v>
          </cell>
        </row>
        <row r="61">
          <cell r="A61" t="str">
            <v>4105100100</v>
          </cell>
          <cell r="M61">
            <v>-2305357420</v>
          </cell>
          <cell r="AR61" t="str">
            <v>25736</v>
          </cell>
        </row>
        <row r="62">
          <cell r="A62" t="str">
            <v>4105100100</v>
          </cell>
          <cell r="M62">
            <v>-207287975</v>
          </cell>
          <cell r="AR62" t="str">
            <v>47189</v>
          </cell>
        </row>
        <row r="63">
          <cell r="A63" t="str">
            <v>4105100100</v>
          </cell>
          <cell r="M63">
            <v>1061180880</v>
          </cell>
          <cell r="AR63" t="str">
            <v>05347</v>
          </cell>
        </row>
        <row r="64">
          <cell r="A64" t="str">
            <v>4105100100</v>
          </cell>
          <cell r="M64">
            <v>86017728</v>
          </cell>
          <cell r="AR64" t="str">
            <v>25799</v>
          </cell>
        </row>
        <row r="65">
          <cell r="A65" t="str">
            <v>4105100100</v>
          </cell>
          <cell r="M65">
            <v>-1195278885</v>
          </cell>
          <cell r="AR65" t="str">
            <v>25754</v>
          </cell>
        </row>
        <row r="66">
          <cell r="A66" t="str">
            <v>4105100100</v>
          </cell>
          <cell r="M66">
            <v>-266854384</v>
          </cell>
          <cell r="AR66" t="str">
            <v>25799</v>
          </cell>
        </row>
        <row r="67">
          <cell r="A67" t="str">
            <v>4105100100</v>
          </cell>
          <cell r="M67">
            <v>402325043</v>
          </cell>
          <cell r="AR67" t="str">
            <v>66001</v>
          </cell>
        </row>
        <row r="68">
          <cell r="A68" t="str">
            <v>4105100100</v>
          </cell>
          <cell r="M68">
            <v>-92311556</v>
          </cell>
          <cell r="AR68" t="str">
            <v>25799</v>
          </cell>
        </row>
        <row r="69">
          <cell r="A69" t="str">
            <v>4105100100</v>
          </cell>
          <cell r="M69">
            <v>-468921572</v>
          </cell>
          <cell r="AR69" t="str">
            <v>25736</v>
          </cell>
        </row>
        <row r="70">
          <cell r="A70" t="str">
            <v>4105100100</v>
          </cell>
          <cell r="M70">
            <v>-278565255</v>
          </cell>
          <cell r="AR70" t="str">
            <v>25754</v>
          </cell>
        </row>
        <row r="71">
          <cell r="A71" t="str">
            <v>4105100100</v>
          </cell>
          <cell r="M71">
            <v>105789086</v>
          </cell>
          <cell r="AR71" t="str">
            <v>15667</v>
          </cell>
        </row>
        <row r="72">
          <cell r="A72" t="str">
            <v>4105100100</v>
          </cell>
          <cell r="M72">
            <v>-1113784426</v>
          </cell>
          <cell r="AR72" t="str">
            <v>25754</v>
          </cell>
        </row>
        <row r="73">
          <cell r="A73" t="str">
            <v>4105100100</v>
          </cell>
          <cell r="M73">
            <v>-468921572</v>
          </cell>
          <cell r="AR73" t="str">
            <v>15667</v>
          </cell>
        </row>
        <row r="74">
          <cell r="A74" t="str">
            <v>4105100100</v>
          </cell>
          <cell r="M74">
            <v>-266854384</v>
          </cell>
          <cell r="AR74" t="str">
            <v>25736</v>
          </cell>
        </row>
        <row r="75">
          <cell r="A75" t="str">
            <v>4105100100</v>
          </cell>
          <cell r="M75">
            <v>2148177488</v>
          </cell>
          <cell r="AR75" t="str">
            <v>68092</v>
          </cell>
        </row>
        <row r="76">
          <cell r="A76" t="str">
            <v>4105100100</v>
          </cell>
          <cell r="M76">
            <v>-431762752</v>
          </cell>
          <cell r="AR76" t="str">
            <v>66001</v>
          </cell>
        </row>
        <row r="77">
          <cell r="A77" t="str">
            <v>4105100100</v>
          </cell>
          <cell r="M77">
            <v>-113529565</v>
          </cell>
          <cell r="AR77" t="str">
            <v>15690</v>
          </cell>
        </row>
        <row r="78">
          <cell r="A78" t="str">
            <v>4105100100</v>
          </cell>
          <cell r="M78">
            <v>-220218922</v>
          </cell>
          <cell r="AR78" t="str">
            <v>15667</v>
          </cell>
        </row>
        <row r="79">
          <cell r="A79" t="str">
            <v>4105100100</v>
          </cell>
          <cell r="M79">
            <v>-1589966389</v>
          </cell>
          <cell r="AR79" t="str">
            <v>44035</v>
          </cell>
        </row>
        <row r="80">
          <cell r="A80" t="str">
            <v>4105100100</v>
          </cell>
          <cell r="M80">
            <v>-1481918487</v>
          </cell>
          <cell r="AR80" t="str">
            <v>44847</v>
          </cell>
        </row>
        <row r="81">
          <cell r="A81" t="str">
            <v>4105100100</v>
          </cell>
          <cell r="M81">
            <v>-1053307448</v>
          </cell>
          <cell r="AR81" t="str">
            <v>44035</v>
          </cell>
        </row>
        <row r="82">
          <cell r="A82" t="str">
            <v>4105100100</v>
          </cell>
          <cell r="M82">
            <v>-1187885148</v>
          </cell>
          <cell r="AR82" t="str">
            <v>76892</v>
          </cell>
        </row>
        <row r="83">
          <cell r="A83" t="str">
            <v>4105100100</v>
          </cell>
          <cell r="M83">
            <v>248660176</v>
          </cell>
          <cell r="AR83" t="str">
            <v>25799</v>
          </cell>
        </row>
        <row r="84">
          <cell r="A84" t="str">
            <v>4105100100</v>
          </cell>
          <cell r="M84">
            <v>-26140058</v>
          </cell>
          <cell r="AR84" t="str">
            <v>15690</v>
          </cell>
        </row>
        <row r="85">
          <cell r="A85" t="str">
            <v>4105100100</v>
          </cell>
          <cell r="M85">
            <v>2148177488</v>
          </cell>
          <cell r="AR85" t="str">
            <v>25736</v>
          </cell>
        </row>
        <row r="86">
          <cell r="A86" t="str">
            <v>4105100100</v>
          </cell>
          <cell r="M86">
            <v>1113784426</v>
          </cell>
          <cell r="AR86" t="str">
            <v>25754</v>
          </cell>
        </row>
        <row r="87">
          <cell r="A87" t="str">
            <v>4105100100</v>
          </cell>
          <cell r="M87">
            <v>436950365</v>
          </cell>
          <cell r="AR87" t="str">
            <v>15667</v>
          </cell>
        </row>
        <row r="88">
          <cell r="A88" t="str">
            <v>4105100100</v>
          </cell>
          <cell r="M88">
            <v>1113784426</v>
          </cell>
          <cell r="AR88" t="str">
            <v>25736</v>
          </cell>
        </row>
        <row r="89">
          <cell r="A89" t="str">
            <v>4105100100</v>
          </cell>
          <cell r="M89">
            <v>-1457370235</v>
          </cell>
          <cell r="AR89" t="str">
            <v>25736</v>
          </cell>
        </row>
        <row r="90">
          <cell r="A90" t="str">
            <v>4105100100</v>
          </cell>
          <cell r="M90">
            <v>1598016680</v>
          </cell>
          <cell r="AR90" t="str">
            <v>20250</v>
          </cell>
        </row>
        <row r="91">
          <cell r="A91" t="str">
            <v>4105100100</v>
          </cell>
          <cell r="M91">
            <v>-247088156</v>
          </cell>
          <cell r="AR91" t="str">
            <v>05347</v>
          </cell>
        </row>
        <row r="92">
          <cell r="A92" t="str">
            <v>4105100100</v>
          </cell>
          <cell r="M92">
            <v>-265008576</v>
          </cell>
          <cell r="AR92" t="str">
            <v>05347</v>
          </cell>
        </row>
        <row r="93">
          <cell r="A93" t="str">
            <v>4105100100</v>
          </cell>
          <cell r="M93">
            <v>-86017728</v>
          </cell>
          <cell r="AR93" t="str">
            <v>25799</v>
          </cell>
        </row>
        <row r="94">
          <cell r="A94" t="str">
            <v>4105100100</v>
          </cell>
          <cell r="M94">
            <v>-1481918487</v>
          </cell>
          <cell r="AR94" t="str">
            <v>44035</v>
          </cell>
        </row>
        <row r="95">
          <cell r="A95" t="str">
            <v>4105100100</v>
          </cell>
          <cell r="M95">
            <v>1106894797</v>
          </cell>
          <cell r="AR95" t="str">
            <v>76892</v>
          </cell>
        </row>
        <row r="96">
          <cell r="A96" t="str">
            <v>4105100100</v>
          </cell>
          <cell r="M96">
            <v>1061180880</v>
          </cell>
          <cell r="AR96" t="str">
            <v>66001</v>
          </cell>
        </row>
        <row r="97">
          <cell r="A97" t="str">
            <v>4105100100</v>
          </cell>
          <cell r="M97">
            <v>1598016680</v>
          </cell>
          <cell r="AR97" t="str">
            <v>44035</v>
          </cell>
        </row>
        <row r="98">
          <cell r="A98" t="str">
            <v>4105100100</v>
          </cell>
          <cell r="M98">
            <v>436950365</v>
          </cell>
          <cell r="AR98" t="str">
            <v>25736</v>
          </cell>
        </row>
        <row r="99">
          <cell r="A99" t="str">
            <v>4105100100</v>
          </cell>
          <cell r="M99">
            <v>-1714941913</v>
          </cell>
          <cell r="AR99" t="str">
            <v>44035</v>
          </cell>
        </row>
        <row r="100">
          <cell r="A100" t="str">
            <v>4105100100</v>
          </cell>
          <cell r="M100">
            <v>-1130104964</v>
          </cell>
          <cell r="AR100" t="str">
            <v>44035</v>
          </cell>
        </row>
        <row r="101">
          <cell r="A101" t="str">
            <v>4105100100</v>
          </cell>
          <cell r="M101">
            <v>-1714941913</v>
          </cell>
          <cell r="AR101" t="str">
            <v>20250</v>
          </cell>
        </row>
        <row r="102">
          <cell r="A102" t="str">
            <v>4105100100</v>
          </cell>
          <cell r="M102">
            <v>-248660176</v>
          </cell>
          <cell r="AR102" t="str">
            <v>25799</v>
          </cell>
        </row>
        <row r="103">
          <cell r="A103" t="str">
            <v>4105100100</v>
          </cell>
          <cell r="M103">
            <v>-298947588</v>
          </cell>
          <cell r="AR103" t="str">
            <v>25754</v>
          </cell>
        </row>
        <row r="104">
          <cell r="A104" t="str">
            <v>4105100100</v>
          </cell>
          <cell r="M104">
            <v>220218922</v>
          </cell>
          <cell r="AR104" t="str">
            <v>15667</v>
          </cell>
        </row>
        <row r="105">
          <cell r="A105" t="str">
            <v>4105100100</v>
          </cell>
          <cell r="M105">
            <v>-1284705127</v>
          </cell>
          <cell r="AR105" t="str">
            <v>76001</v>
          </cell>
        </row>
        <row r="106">
          <cell r="A106" t="str">
            <v>4105100100</v>
          </cell>
          <cell r="M106">
            <v>-707378788</v>
          </cell>
          <cell r="AR106" t="str">
            <v>44847</v>
          </cell>
        </row>
        <row r="107">
          <cell r="A107" t="str">
            <v>4105100100</v>
          </cell>
          <cell r="M107">
            <v>-2148177488</v>
          </cell>
          <cell r="AR107" t="str">
            <v>68092</v>
          </cell>
        </row>
        <row r="108">
          <cell r="A108" t="str">
            <v>4105100100</v>
          </cell>
          <cell r="M108">
            <v>-222581254</v>
          </cell>
          <cell r="AR108" t="str">
            <v>47189</v>
          </cell>
        </row>
        <row r="109">
          <cell r="A109" t="str">
            <v>4105100100</v>
          </cell>
          <cell r="M109">
            <v>-236332114</v>
          </cell>
          <cell r="AR109" t="str">
            <v>15667</v>
          </cell>
        </row>
        <row r="110">
          <cell r="A110" t="str">
            <v>4105100100</v>
          </cell>
          <cell r="M110">
            <v>246940215</v>
          </cell>
          <cell r="AR110" t="str">
            <v>05347</v>
          </cell>
        </row>
        <row r="111">
          <cell r="A111" t="str">
            <v>4105100100</v>
          </cell>
          <cell r="M111">
            <v>-311709495</v>
          </cell>
          <cell r="AR111" t="str">
            <v>68092</v>
          </cell>
        </row>
        <row r="112">
          <cell r="A112" t="str">
            <v>4105100100</v>
          </cell>
          <cell r="M112">
            <v>278565255</v>
          </cell>
          <cell r="AR112" t="str">
            <v>25754</v>
          </cell>
        </row>
        <row r="113">
          <cell r="A113" t="str">
            <v>4105100200</v>
          </cell>
          <cell r="M113">
            <v>-237288886</v>
          </cell>
          <cell r="AR113" t="str">
            <v>47189</v>
          </cell>
        </row>
        <row r="114">
          <cell r="A114" t="str">
            <v>4105100200</v>
          </cell>
          <cell r="M114">
            <v>586225287</v>
          </cell>
          <cell r="AR114" t="str">
            <v>44001</v>
          </cell>
        </row>
        <row r="115">
          <cell r="A115" t="str">
            <v>4105100200</v>
          </cell>
          <cell r="M115">
            <v>-213687750</v>
          </cell>
          <cell r="AR115" t="str">
            <v>20250</v>
          </cell>
        </row>
        <row r="116">
          <cell r="A116" t="str">
            <v>4105100200</v>
          </cell>
          <cell r="M116">
            <v>-1878820917</v>
          </cell>
          <cell r="AR116" t="str">
            <v>44430</v>
          </cell>
        </row>
        <row r="117">
          <cell r="A117" t="str">
            <v>4105100200</v>
          </cell>
          <cell r="M117">
            <v>1190</v>
          </cell>
          <cell r="AR117" t="str">
            <v>41026</v>
          </cell>
        </row>
        <row r="118">
          <cell r="A118" t="str">
            <v>4105100200</v>
          </cell>
          <cell r="M118">
            <v>-495171163</v>
          </cell>
          <cell r="AR118" t="str">
            <v>44430</v>
          </cell>
        </row>
        <row r="119">
          <cell r="A119" t="str">
            <v>4105100200</v>
          </cell>
          <cell r="M119">
            <v>-675973014</v>
          </cell>
          <cell r="AR119" t="str">
            <v>44035</v>
          </cell>
        </row>
        <row r="120">
          <cell r="A120" t="str">
            <v>4105100200</v>
          </cell>
          <cell r="M120">
            <v>-512026728</v>
          </cell>
          <cell r="AR120" t="str">
            <v>44430</v>
          </cell>
        </row>
        <row r="121">
          <cell r="A121" t="str">
            <v>4105100200</v>
          </cell>
          <cell r="M121">
            <v>-1878820917</v>
          </cell>
          <cell r="AR121" t="str">
            <v>44001</v>
          </cell>
        </row>
        <row r="122">
          <cell r="A122" t="str">
            <v>4105100200</v>
          </cell>
          <cell r="M122">
            <v>-386874038</v>
          </cell>
          <cell r="AR122" t="str">
            <v>20400</v>
          </cell>
        </row>
        <row r="123">
          <cell r="A123" t="str">
            <v>4105100200</v>
          </cell>
          <cell r="M123">
            <v>-262513440</v>
          </cell>
          <cell r="AR123" t="str">
            <v>41026</v>
          </cell>
        </row>
        <row r="124">
          <cell r="A124" t="str">
            <v>4105100200</v>
          </cell>
          <cell r="M124">
            <v>-1942775747</v>
          </cell>
          <cell r="AR124" t="str">
            <v>44430</v>
          </cell>
        </row>
        <row r="125">
          <cell r="A125" t="str">
            <v>4105100200</v>
          </cell>
          <cell r="M125">
            <v>260724347</v>
          </cell>
          <cell r="AR125" t="str">
            <v>20250</v>
          </cell>
        </row>
        <row r="126">
          <cell r="A126" t="str">
            <v>4105100200</v>
          </cell>
          <cell r="M126">
            <v>-605124438</v>
          </cell>
          <cell r="AR126" t="str">
            <v>44001</v>
          </cell>
        </row>
        <row r="127">
          <cell r="A127" t="str">
            <v>4105100200</v>
          </cell>
          <cell r="M127">
            <v>-220961654</v>
          </cell>
          <cell r="AR127" t="str">
            <v>20250</v>
          </cell>
        </row>
        <row r="128">
          <cell r="A128" t="str">
            <v>4105100200</v>
          </cell>
          <cell r="M128">
            <v>-992280138</v>
          </cell>
          <cell r="AR128" t="str">
            <v>20250</v>
          </cell>
        </row>
        <row r="129">
          <cell r="A129" t="str">
            <v>4105100200</v>
          </cell>
          <cell r="M129">
            <v>-1026057231</v>
          </cell>
          <cell r="AR129" t="str">
            <v>20250</v>
          </cell>
        </row>
        <row r="130">
          <cell r="A130" t="str">
            <v>4105100200</v>
          </cell>
          <cell r="M130">
            <v>994011574</v>
          </cell>
          <cell r="AR130" t="str">
            <v>20250</v>
          </cell>
        </row>
        <row r="131">
          <cell r="A131" t="str">
            <v>4105100200</v>
          </cell>
          <cell r="M131">
            <v>964513845</v>
          </cell>
          <cell r="AR131" t="str">
            <v>44035</v>
          </cell>
        </row>
        <row r="132">
          <cell r="A132" t="str">
            <v>4105100200</v>
          </cell>
          <cell r="M132">
            <v>262971502</v>
          </cell>
          <cell r="AR132" t="str">
            <v>41026</v>
          </cell>
        </row>
        <row r="133">
          <cell r="A133" t="str">
            <v>4105100200</v>
          </cell>
          <cell r="M133">
            <v>677152524</v>
          </cell>
          <cell r="AR133" t="str">
            <v>44035</v>
          </cell>
        </row>
        <row r="134">
          <cell r="A134" t="str">
            <v>4105100200</v>
          </cell>
          <cell r="M134">
            <v>-205307838</v>
          </cell>
          <cell r="AR134" t="str">
            <v>20400</v>
          </cell>
        </row>
        <row r="135">
          <cell r="A135" t="str">
            <v>4105100200</v>
          </cell>
          <cell r="M135">
            <v>496035190</v>
          </cell>
          <cell r="AR135" t="str">
            <v>44430</v>
          </cell>
        </row>
        <row r="136">
          <cell r="A136" t="str">
            <v>4105100200</v>
          </cell>
          <cell r="M136">
            <v>-269129766</v>
          </cell>
          <cell r="AR136" t="str">
            <v>20250</v>
          </cell>
        </row>
        <row r="137">
          <cell r="A137" t="str">
            <v>4105100200</v>
          </cell>
          <cell r="M137">
            <v>374791249</v>
          </cell>
          <cell r="AR137" t="str">
            <v>20400</v>
          </cell>
        </row>
        <row r="138">
          <cell r="A138" t="str">
            <v>4105100200</v>
          </cell>
          <cell r="M138">
            <v>-229477500</v>
          </cell>
          <cell r="AR138" t="str">
            <v>47189</v>
          </cell>
        </row>
        <row r="139">
          <cell r="A139" t="str">
            <v>4105100200</v>
          </cell>
          <cell r="M139">
            <v>-212296491</v>
          </cell>
          <cell r="AR139" t="str">
            <v>20250</v>
          </cell>
        </row>
        <row r="140">
          <cell r="A140" t="str">
            <v>4105100200</v>
          </cell>
          <cell r="M140">
            <v>-962833791</v>
          </cell>
          <cell r="AR140" t="str">
            <v>44001</v>
          </cell>
        </row>
        <row r="141">
          <cell r="A141" t="str">
            <v>4105100200</v>
          </cell>
          <cell r="M141">
            <v>1882099282</v>
          </cell>
          <cell r="AR141" t="str">
            <v>44430</v>
          </cell>
        </row>
        <row r="142">
          <cell r="A142" t="str">
            <v>4105100200</v>
          </cell>
          <cell r="M142">
            <v>-1942775747</v>
          </cell>
          <cell r="AR142" t="str">
            <v>44001</v>
          </cell>
        </row>
        <row r="143">
          <cell r="A143" t="str">
            <v>4105100200</v>
          </cell>
          <cell r="M143">
            <v>-995608534</v>
          </cell>
          <cell r="AR143" t="str">
            <v>44035</v>
          </cell>
        </row>
        <row r="144">
          <cell r="A144" t="str">
            <v>4105100200</v>
          </cell>
          <cell r="M144">
            <v>1882099282</v>
          </cell>
          <cell r="AR144" t="str">
            <v>44001</v>
          </cell>
        </row>
        <row r="145">
          <cell r="A145" t="str">
            <v>4105100200</v>
          </cell>
          <cell r="M145">
            <v>-205307838</v>
          </cell>
          <cell r="AR145" t="str">
            <v>20250</v>
          </cell>
        </row>
        <row r="146">
          <cell r="A146" t="str">
            <v>4105100200</v>
          </cell>
          <cell r="M146">
            <v>214060615</v>
          </cell>
          <cell r="AR146" t="str">
            <v>20250</v>
          </cell>
        </row>
        <row r="147">
          <cell r="A147" t="str">
            <v>4105100200</v>
          </cell>
          <cell r="M147">
            <v>-585204161</v>
          </cell>
          <cell r="AR147" t="str">
            <v>44001</v>
          </cell>
        </row>
        <row r="148">
          <cell r="A148" t="str">
            <v>4105100200</v>
          </cell>
          <cell r="M148">
            <v>-264845849</v>
          </cell>
          <cell r="AR148" t="str">
            <v>41026</v>
          </cell>
        </row>
        <row r="149">
          <cell r="A149" t="str">
            <v>4105100200</v>
          </cell>
          <cell r="M149">
            <v>-698983052</v>
          </cell>
          <cell r="AR149" t="str">
            <v>44035</v>
          </cell>
        </row>
        <row r="150">
          <cell r="A150" t="str">
            <v>4105100200</v>
          </cell>
          <cell r="M150">
            <v>214060615</v>
          </cell>
          <cell r="AR150" t="str">
            <v>20250</v>
          </cell>
        </row>
        <row r="151">
          <cell r="A151" t="str">
            <v>4105100200</v>
          </cell>
          <cell r="M151">
            <v>205666081</v>
          </cell>
          <cell r="AR151" t="str">
            <v>20250</v>
          </cell>
        </row>
        <row r="152">
          <cell r="A152" t="str">
            <v>4105100200</v>
          </cell>
          <cell r="M152">
            <v>-212296491</v>
          </cell>
          <cell r="AR152" t="str">
            <v>20400</v>
          </cell>
        </row>
        <row r="153">
          <cell r="A153" t="str">
            <v>4105100200</v>
          </cell>
          <cell r="M153">
            <v>-260270200</v>
          </cell>
          <cell r="AR153" t="str">
            <v>20250</v>
          </cell>
        </row>
        <row r="154">
          <cell r="A154" t="str">
            <v>4105100200</v>
          </cell>
          <cell r="M154">
            <v>964513845</v>
          </cell>
          <cell r="AR154" t="str">
            <v>44001</v>
          </cell>
        </row>
        <row r="155">
          <cell r="A155" t="str">
            <v>4105100200</v>
          </cell>
          <cell r="M155">
            <v>-374138413</v>
          </cell>
          <cell r="AR155" t="str">
            <v>20400</v>
          </cell>
        </row>
        <row r="156">
          <cell r="A156" t="str">
            <v>4105100200</v>
          </cell>
          <cell r="M156">
            <v>205666081</v>
          </cell>
          <cell r="AR156" t="str">
            <v>20400</v>
          </cell>
        </row>
        <row r="157">
          <cell r="A157" t="str">
            <v>4105100200</v>
          </cell>
          <cell r="M157">
            <v>-220961654</v>
          </cell>
          <cell r="AR157" t="str">
            <v>20250</v>
          </cell>
        </row>
        <row r="158">
          <cell r="A158" t="str">
            <v>4105100200</v>
          </cell>
          <cell r="M158">
            <v>229877917</v>
          </cell>
          <cell r="AR158" t="str">
            <v>47189</v>
          </cell>
        </row>
        <row r="159">
          <cell r="A159" t="str">
            <v>4105100200</v>
          </cell>
          <cell r="M159">
            <v>-995608534</v>
          </cell>
          <cell r="AR159" t="str">
            <v>44001</v>
          </cell>
        </row>
        <row r="160">
          <cell r="A160" t="str">
            <v>4105100200</v>
          </cell>
          <cell r="M160">
            <v>-962833791</v>
          </cell>
          <cell r="AR160" t="str">
            <v>44035</v>
          </cell>
        </row>
        <row r="161">
          <cell r="A161" t="str">
            <v>4105100200</v>
          </cell>
          <cell r="M161">
            <v>-213687750</v>
          </cell>
          <cell r="AR161" t="str">
            <v>20250</v>
          </cell>
        </row>
        <row r="162">
          <cell r="A162" t="str">
            <v>4105100300</v>
          </cell>
          <cell r="M162">
            <v>-14025174</v>
          </cell>
          <cell r="AR162" t="str">
            <v>15667</v>
          </cell>
        </row>
        <row r="163">
          <cell r="A163" t="str">
            <v>4105100300</v>
          </cell>
          <cell r="M163">
            <v>-22791458</v>
          </cell>
          <cell r="AR163" t="str">
            <v>25736</v>
          </cell>
        </row>
        <row r="164">
          <cell r="A164" t="str">
            <v>4105100300</v>
          </cell>
          <cell r="M164">
            <v>-13201636</v>
          </cell>
          <cell r="AR164" t="str">
            <v>47189</v>
          </cell>
        </row>
        <row r="165">
          <cell r="A165" t="str">
            <v>4105100300</v>
          </cell>
          <cell r="M165">
            <v>-30973009</v>
          </cell>
          <cell r="AR165" t="str">
            <v>20250</v>
          </cell>
        </row>
        <row r="166">
          <cell r="A166" t="str">
            <v>4105100300</v>
          </cell>
          <cell r="M166">
            <v>17365999</v>
          </cell>
          <cell r="AR166" t="str">
            <v>25754</v>
          </cell>
        </row>
        <row r="167">
          <cell r="A167" t="str">
            <v>4105100300</v>
          </cell>
          <cell r="M167">
            <v>69434283</v>
          </cell>
          <cell r="AR167" t="str">
            <v>25736</v>
          </cell>
        </row>
        <row r="168">
          <cell r="A168" t="str">
            <v>4105100300</v>
          </cell>
          <cell r="M168">
            <v>-67142180</v>
          </cell>
          <cell r="AR168" t="str">
            <v>66001</v>
          </cell>
        </row>
        <row r="169">
          <cell r="A169" t="str">
            <v>4105100300</v>
          </cell>
          <cell r="M169">
            <v>6594983</v>
          </cell>
          <cell r="AR169" t="str">
            <v>15690</v>
          </cell>
        </row>
        <row r="170">
          <cell r="A170" t="str">
            <v>4105100300</v>
          </cell>
          <cell r="M170">
            <v>69004778</v>
          </cell>
          <cell r="AR170" t="str">
            <v>76892</v>
          </cell>
        </row>
        <row r="171">
          <cell r="A171" t="str">
            <v>4105100300</v>
          </cell>
          <cell r="M171">
            <v>17348859</v>
          </cell>
          <cell r="AR171" t="str">
            <v>76001</v>
          </cell>
        </row>
        <row r="172">
          <cell r="A172" t="str">
            <v>4105100300</v>
          </cell>
          <cell r="M172">
            <v>-102119053</v>
          </cell>
          <cell r="AR172" t="str">
            <v>76001</v>
          </cell>
        </row>
        <row r="173">
          <cell r="A173" t="str">
            <v>4105100300</v>
          </cell>
          <cell r="M173">
            <v>-101108421</v>
          </cell>
          <cell r="AR173" t="str">
            <v>44035</v>
          </cell>
        </row>
        <row r="174">
          <cell r="A174" t="str">
            <v>4105100300</v>
          </cell>
          <cell r="M174">
            <v>-17734210</v>
          </cell>
          <cell r="AR174" t="str">
            <v>76001</v>
          </cell>
        </row>
        <row r="175">
          <cell r="A175" t="str">
            <v>4105100300</v>
          </cell>
          <cell r="M175">
            <v>-67624358</v>
          </cell>
          <cell r="AR175" t="str">
            <v>05347</v>
          </cell>
        </row>
        <row r="176">
          <cell r="A176" t="str">
            <v>4105100300</v>
          </cell>
          <cell r="M176">
            <v>-94379560</v>
          </cell>
          <cell r="AR176" t="str">
            <v>44035</v>
          </cell>
        </row>
        <row r="177">
          <cell r="A177" t="str">
            <v>4105100300</v>
          </cell>
          <cell r="M177">
            <v>1518488</v>
          </cell>
          <cell r="AR177" t="str">
            <v>15690</v>
          </cell>
        </row>
        <row r="178">
          <cell r="A178" t="str">
            <v>4105100300</v>
          </cell>
          <cell r="M178">
            <v>-67624358</v>
          </cell>
          <cell r="AR178" t="str">
            <v>66001</v>
          </cell>
        </row>
        <row r="179">
          <cell r="A179" t="str">
            <v>4105100300</v>
          </cell>
          <cell r="M179">
            <v>-70537504</v>
          </cell>
          <cell r="AR179" t="str">
            <v>76001</v>
          </cell>
        </row>
        <row r="180">
          <cell r="A180" t="str">
            <v>4105100300</v>
          </cell>
          <cell r="M180">
            <v>44087997</v>
          </cell>
          <cell r="AR180" t="str">
            <v>44847</v>
          </cell>
        </row>
        <row r="181">
          <cell r="A181" t="str">
            <v>4105100300</v>
          </cell>
          <cell r="M181">
            <v>-67082430</v>
          </cell>
          <cell r="AR181" t="str">
            <v>44035</v>
          </cell>
        </row>
        <row r="182">
          <cell r="A182" t="str">
            <v>4105100300</v>
          </cell>
          <cell r="M182">
            <v>-19851972</v>
          </cell>
          <cell r="AR182" t="str">
            <v>68092</v>
          </cell>
        </row>
        <row r="183">
          <cell r="A183" t="str">
            <v>4105100300</v>
          </cell>
          <cell r="M183">
            <v>-5478247</v>
          </cell>
          <cell r="AR183" t="str">
            <v>25799</v>
          </cell>
        </row>
        <row r="184">
          <cell r="A184" t="str">
            <v>4105100300</v>
          </cell>
          <cell r="M184">
            <v>5362419</v>
          </cell>
          <cell r="AR184" t="str">
            <v>25799</v>
          </cell>
        </row>
        <row r="185">
          <cell r="A185" t="str">
            <v>4105100300</v>
          </cell>
          <cell r="M185">
            <v>-15736406</v>
          </cell>
          <cell r="AR185" t="str">
            <v>05347</v>
          </cell>
        </row>
        <row r="186">
          <cell r="A186" t="str">
            <v>4105100300</v>
          </cell>
          <cell r="M186">
            <v>-135917752</v>
          </cell>
          <cell r="AR186" t="str">
            <v>25736</v>
          </cell>
        </row>
        <row r="187">
          <cell r="A187" t="str">
            <v>4105100300</v>
          </cell>
          <cell r="M187">
            <v>-25638393</v>
          </cell>
          <cell r="AR187" t="str">
            <v>66001</v>
          </cell>
        </row>
        <row r="188">
          <cell r="A188" t="str">
            <v>4105100300</v>
          </cell>
          <cell r="M188">
            <v>27239863</v>
          </cell>
          <cell r="AR188" t="str">
            <v>15667</v>
          </cell>
        </row>
        <row r="189">
          <cell r="A189" t="str">
            <v>4105100300</v>
          </cell>
          <cell r="M189">
            <v>69004778</v>
          </cell>
          <cell r="AR189" t="str">
            <v>76001</v>
          </cell>
        </row>
        <row r="190">
          <cell r="A190" t="str">
            <v>4105100300</v>
          </cell>
          <cell r="M190">
            <v>-15624202</v>
          </cell>
          <cell r="AR190" t="str">
            <v>05347</v>
          </cell>
        </row>
        <row r="191">
          <cell r="A191" t="str">
            <v>4105100300</v>
          </cell>
          <cell r="M191">
            <v>99621740</v>
          </cell>
          <cell r="AR191" t="str">
            <v>20250</v>
          </cell>
        </row>
        <row r="192">
          <cell r="A192" t="str">
            <v>4105100300</v>
          </cell>
          <cell r="M192">
            <v>-15836524</v>
          </cell>
          <cell r="AR192" t="str">
            <v>25736</v>
          </cell>
        </row>
        <row r="193">
          <cell r="A193" t="str">
            <v>4105100300</v>
          </cell>
          <cell r="M193">
            <v>-101798041</v>
          </cell>
          <cell r="AR193" t="str">
            <v>44035</v>
          </cell>
        </row>
        <row r="194">
          <cell r="A194" t="str">
            <v>4105100300</v>
          </cell>
          <cell r="M194">
            <v>69434283</v>
          </cell>
          <cell r="AR194" t="str">
            <v>25754</v>
          </cell>
        </row>
        <row r="195">
          <cell r="A195" t="str">
            <v>4105100300</v>
          </cell>
          <cell r="M195">
            <v>15394466</v>
          </cell>
          <cell r="AR195" t="str">
            <v>05347</v>
          </cell>
        </row>
        <row r="196">
          <cell r="A196" t="str">
            <v>4105100300</v>
          </cell>
          <cell r="M196">
            <v>99621740</v>
          </cell>
          <cell r="AR196" t="str">
            <v>44035</v>
          </cell>
        </row>
        <row r="197">
          <cell r="A197" t="str">
            <v>4105100300</v>
          </cell>
          <cell r="M197">
            <v>-70470469</v>
          </cell>
          <cell r="AR197" t="str">
            <v>25736</v>
          </cell>
        </row>
        <row r="198">
          <cell r="A198" t="str">
            <v>4105100300</v>
          </cell>
          <cell r="M198">
            <v>-101390919</v>
          </cell>
          <cell r="AR198" t="str">
            <v>66001</v>
          </cell>
        </row>
        <row r="199">
          <cell r="A199" t="str">
            <v>4105100300</v>
          </cell>
          <cell r="M199">
            <v>-101390919</v>
          </cell>
          <cell r="AR199" t="str">
            <v>76001</v>
          </cell>
        </row>
        <row r="200">
          <cell r="A200" t="str">
            <v>4105100300</v>
          </cell>
          <cell r="M200">
            <v>-70034554</v>
          </cell>
          <cell r="AR200" t="str">
            <v>76892</v>
          </cell>
        </row>
        <row r="201">
          <cell r="A201" t="str">
            <v>4105100300</v>
          </cell>
          <cell r="M201">
            <v>-9622276</v>
          </cell>
          <cell r="AR201" t="str">
            <v>76892</v>
          </cell>
        </row>
        <row r="202">
          <cell r="A202" t="str">
            <v>4105100300</v>
          </cell>
          <cell r="M202">
            <v>-70034554</v>
          </cell>
          <cell r="AR202" t="str">
            <v>76001</v>
          </cell>
        </row>
        <row r="203">
          <cell r="A203" t="str">
            <v>4105100300</v>
          </cell>
          <cell r="M203">
            <v>-15405026</v>
          </cell>
          <cell r="AR203" t="str">
            <v>47001</v>
          </cell>
        </row>
        <row r="204">
          <cell r="A204" t="str">
            <v>4105100300</v>
          </cell>
          <cell r="M204">
            <v>-44745934</v>
          </cell>
          <cell r="AR204" t="str">
            <v>44847</v>
          </cell>
        </row>
        <row r="205">
          <cell r="A205" t="str">
            <v>4105100300</v>
          </cell>
          <cell r="M205">
            <v>65648301</v>
          </cell>
          <cell r="AR205" t="str">
            <v>44035</v>
          </cell>
        </row>
        <row r="206">
          <cell r="A206" t="str">
            <v>4105100300</v>
          </cell>
          <cell r="M206">
            <v>30310849</v>
          </cell>
          <cell r="AR206" t="str">
            <v>20250</v>
          </cell>
        </row>
        <row r="207">
          <cell r="A207" t="str">
            <v>4105100300</v>
          </cell>
          <cell r="M207">
            <v>-102119053</v>
          </cell>
          <cell r="AR207" t="str">
            <v>66001</v>
          </cell>
        </row>
        <row r="208">
          <cell r="A208" t="str">
            <v>4105100300</v>
          </cell>
          <cell r="M208">
            <v>15501690</v>
          </cell>
          <cell r="AR208" t="str">
            <v>25799</v>
          </cell>
        </row>
        <row r="209">
          <cell r="A209" t="str">
            <v>4105100300</v>
          </cell>
          <cell r="M209">
            <v>-94379560</v>
          </cell>
          <cell r="AR209" t="str">
            <v>44847</v>
          </cell>
        </row>
        <row r="210">
          <cell r="A210" t="str">
            <v>4105100300</v>
          </cell>
          <cell r="M210">
            <v>-1541148</v>
          </cell>
          <cell r="AR210" t="str">
            <v>15690</v>
          </cell>
        </row>
        <row r="211">
          <cell r="A211" t="str">
            <v>4105100300</v>
          </cell>
          <cell r="M211">
            <v>99900084</v>
          </cell>
          <cell r="AR211" t="str">
            <v>76001</v>
          </cell>
        </row>
        <row r="212">
          <cell r="A212" t="str">
            <v>4105100300</v>
          </cell>
          <cell r="M212">
            <v>22309575</v>
          </cell>
          <cell r="AR212" t="str">
            <v>25736</v>
          </cell>
        </row>
        <row r="213">
          <cell r="A213" t="str">
            <v>4105100300</v>
          </cell>
          <cell r="M213">
            <v>13728638</v>
          </cell>
          <cell r="AR213" t="str">
            <v>15667</v>
          </cell>
        </row>
        <row r="214">
          <cell r="A214" t="str">
            <v>4105100300</v>
          </cell>
          <cell r="M214">
            <v>-135917752</v>
          </cell>
          <cell r="AR214" t="str">
            <v>68092</v>
          </cell>
        </row>
        <row r="215">
          <cell r="A215" t="str">
            <v>4105100300</v>
          </cell>
          <cell r="M215">
            <v>15501690</v>
          </cell>
          <cell r="AR215" t="str">
            <v>25736</v>
          </cell>
        </row>
        <row r="216">
          <cell r="A216" t="str">
            <v>4105100300</v>
          </cell>
          <cell r="M216">
            <v>92361856</v>
          </cell>
          <cell r="AR216" t="str">
            <v>44847</v>
          </cell>
        </row>
        <row r="217">
          <cell r="A217" t="str">
            <v>4105100300</v>
          </cell>
          <cell r="M217">
            <v>19432239</v>
          </cell>
          <cell r="AR217" t="str">
            <v>68092</v>
          </cell>
        </row>
        <row r="218">
          <cell r="A218" t="str">
            <v>4105100300</v>
          </cell>
          <cell r="M218">
            <v>25081291</v>
          </cell>
          <cell r="AR218" t="str">
            <v>66001</v>
          </cell>
        </row>
        <row r="219">
          <cell r="A219" t="str">
            <v>4105100300</v>
          </cell>
          <cell r="M219">
            <v>-66627988</v>
          </cell>
          <cell r="AR219" t="str">
            <v>44035</v>
          </cell>
        </row>
        <row r="220">
          <cell r="A220" t="str">
            <v>4105100300</v>
          </cell>
          <cell r="M220">
            <v>-75742803</v>
          </cell>
          <cell r="AR220" t="str">
            <v>76001</v>
          </cell>
        </row>
        <row r="221">
          <cell r="A221" t="str">
            <v>4105100300</v>
          </cell>
          <cell r="M221">
            <v>133919240</v>
          </cell>
          <cell r="AR221" t="str">
            <v>25736</v>
          </cell>
        </row>
        <row r="222">
          <cell r="A222" t="str">
            <v>4105100300</v>
          </cell>
          <cell r="M222">
            <v>92361856</v>
          </cell>
          <cell r="AR222" t="str">
            <v>44035</v>
          </cell>
        </row>
        <row r="223">
          <cell r="A223" t="str">
            <v>4105100300</v>
          </cell>
          <cell r="M223">
            <v>12929844</v>
          </cell>
          <cell r="AR223" t="str">
            <v>47189</v>
          </cell>
        </row>
        <row r="224">
          <cell r="A224" t="str">
            <v>4105100300</v>
          </cell>
          <cell r="M224">
            <v>66154933</v>
          </cell>
          <cell r="AR224" t="str">
            <v>05347</v>
          </cell>
        </row>
        <row r="225">
          <cell r="A225" t="str">
            <v>4105100300</v>
          </cell>
          <cell r="M225">
            <v>-45051128</v>
          </cell>
          <cell r="AR225" t="str">
            <v>44847</v>
          </cell>
        </row>
        <row r="226">
          <cell r="A226" t="str">
            <v>4105100300</v>
          </cell>
          <cell r="M226">
            <v>6594983</v>
          </cell>
          <cell r="AR226" t="str">
            <v>15667</v>
          </cell>
        </row>
        <row r="227">
          <cell r="A227" t="str">
            <v>4105100300</v>
          </cell>
          <cell r="M227">
            <v>-15733026</v>
          </cell>
          <cell r="AR227" t="str">
            <v>25736</v>
          </cell>
        </row>
        <row r="228">
          <cell r="A228" t="str">
            <v>4105100300</v>
          </cell>
          <cell r="M228">
            <v>133919240</v>
          </cell>
          <cell r="AR228" t="str">
            <v>68092</v>
          </cell>
        </row>
        <row r="229">
          <cell r="A229" t="str">
            <v>4105100300</v>
          </cell>
          <cell r="M229">
            <v>66154933</v>
          </cell>
          <cell r="AR229" t="str">
            <v>66001</v>
          </cell>
        </row>
        <row r="230">
          <cell r="A230" t="str">
            <v>4105100300</v>
          </cell>
          <cell r="M230">
            <v>27239863</v>
          </cell>
          <cell r="AR230" t="str">
            <v>25736</v>
          </cell>
        </row>
        <row r="231">
          <cell r="A231" t="str">
            <v>4105100300</v>
          </cell>
          <cell r="M231">
            <v>-101798041</v>
          </cell>
          <cell r="AR231" t="str">
            <v>20250</v>
          </cell>
        </row>
        <row r="232">
          <cell r="A232" t="str">
            <v>4105100300</v>
          </cell>
          <cell r="M232">
            <v>-27828240</v>
          </cell>
          <cell r="AR232" t="str">
            <v>15667</v>
          </cell>
        </row>
        <row r="233">
          <cell r="A233" t="str">
            <v>4105100300</v>
          </cell>
          <cell r="M233">
            <v>-6693402</v>
          </cell>
          <cell r="AR233" t="str">
            <v>15690</v>
          </cell>
        </row>
        <row r="234">
          <cell r="A234" t="str">
            <v>4105100300</v>
          </cell>
          <cell r="M234">
            <v>-15836524</v>
          </cell>
          <cell r="AR234" t="str">
            <v>25799</v>
          </cell>
        </row>
        <row r="235">
          <cell r="A235" t="str">
            <v>4105100300</v>
          </cell>
          <cell r="M235">
            <v>-27646371</v>
          </cell>
          <cell r="AR235" t="str">
            <v>25736</v>
          </cell>
        </row>
        <row r="236">
          <cell r="A236" t="str">
            <v>4105100300</v>
          </cell>
          <cell r="M236">
            <v>-27646371</v>
          </cell>
          <cell r="AR236" t="str">
            <v>15667</v>
          </cell>
        </row>
        <row r="237">
          <cell r="A237" t="str">
            <v>4105100300</v>
          </cell>
          <cell r="M237">
            <v>-92209553</v>
          </cell>
          <cell r="AR237" t="str">
            <v>25736</v>
          </cell>
        </row>
        <row r="238">
          <cell r="A238" t="str">
            <v>4105100300</v>
          </cell>
          <cell r="M238">
            <v>-70934053</v>
          </cell>
          <cell r="AR238" t="str">
            <v>25736</v>
          </cell>
        </row>
        <row r="239">
          <cell r="A239" t="str">
            <v>4105100300</v>
          </cell>
          <cell r="M239">
            <v>-76286746</v>
          </cell>
          <cell r="AR239" t="str">
            <v>76001</v>
          </cell>
        </row>
        <row r="240">
          <cell r="A240" t="str">
            <v>4105100300</v>
          </cell>
          <cell r="M240">
            <v>74629093</v>
          </cell>
          <cell r="AR240" t="str">
            <v>76001</v>
          </cell>
        </row>
        <row r="241">
          <cell r="A241" t="str">
            <v>4105100300</v>
          </cell>
          <cell r="M241">
            <v>-6693402</v>
          </cell>
          <cell r="AR241" t="str">
            <v>15667</v>
          </cell>
        </row>
        <row r="242">
          <cell r="A242" t="str">
            <v>4105100300</v>
          </cell>
          <cell r="M242">
            <v>-6737434</v>
          </cell>
          <cell r="AR242" t="str">
            <v>15690</v>
          </cell>
        </row>
        <row r="243">
          <cell r="A243" t="str">
            <v>4105100300</v>
          </cell>
          <cell r="M243">
            <v>-17741101</v>
          </cell>
          <cell r="AR243" t="str">
            <v>25754</v>
          </cell>
        </row>
        <row r="244">
          <cell r="A244" t="str">
            <v>4105100300</v>
          </cell>
          <cell r="M244">
            <v>-30763185</v>
          </cell>
          <cell r="AR244" t="str">
            <v>20250</v>
          </cell>
        </row>
        <row r="245">
          <cell r="A245" t="str">
            <v>4105100300</v>
          </cell>
          <cell r="M245">
            <v>90853719</v>
          </cell>
          <cell r="AR245" t="str">
            <v>25736</v>
          </cell>
        </row>
        <row r="246">
          <cell r="A246" t="str">
            <v>4105100300</v>
          </cell>
          <cell r="M246">
            <v>-70537504</v>
          </cell>
          <cell r="AR246" t="str">
            <v>76892</v>
          </cell>
        </row>
        <row r="247">
          <cell r="A247" t="str">
            <v>4105100300</v>
          </cell>
          <cell r="M247">
            <v>9413192</v>
          </cell>
          <cell r="AR247" t="str">
            <v>76892</v>
          </cell>
        </row>
        <row r="248">
          <cell r="A248" t="str">
            <v>4105100300</v>
          </cell>
          <cell r="M248">
            <v>-70934053</v>
          </cell>
          <cell r="AR248" t="str">
            <v>25754</v>
          </cell>
        </row>
        <row r="249">
          <cell r="A249" t="str">
            <v>4105100300</v>
          </cell>
          <cell r="M249">
            <v>-1551287</v>
          </cell>
          <cell r="AR249" t="str">
            <v>15690</v>
          </cell>
        </row>
        <row r="250">
          <cell r="A250" t="str">
            <v>4105100300</v>
          </cell>
          <cell r="M250">
            <v>-9553667</v>
          </cell>
          <cell r="AR250" t="str">
            <v>76892</v>
          </cell>
        </row>
        <row r="251">
          <cell r="A251" t="str">
            <v>4105100300</v>
          </cell>
          <cell r="M251">
            <v>-15733026</v>
          </cell>
          <cell r="AR251" t="str">
            <v>25799</v>
          </cell>
        </row>
        <row r="252">
          <cell r="A252" t="str">
            <v>4105100300</v>
          </cell>
          <cell r="M252">
            <v>-19722232</v>
          </cell>
          <cell r="AR252" t="str">
            <v>68092</v>
          </cell>
        </row>
        <row r="253">
          <cell r="A253" t="str">
            <v>4105100300</v>
          </cell>
          <cell r="M253">
            <v>99900084</v>
          </cell>
          <cell r="AR253" t="str">
            <v>66001</v>
          </cell>
        </row>
        <row r="254">
          <cell r="A254" t="str">
            <v>4105100300</v>
          </cell>
          <cell r="M254">
            <v>-67142180</v>
          </cell>
          <cell r="AR254" t="str">
            <v>05347</v>
          </cell>
        </row>
        <row r="255">
          <cell r="A255" t="str">
            <v>4105100300</v>
          </cell>
          <cell r="M255">
            <v>-13122800</v>
          </cell>
          <cell r="AR255" t="str">
            <v>47189</v>
          </cell>
        </row>
        <row r="256">
          <cell r="A256" t="str">
            <v>4105100300</v>
          </cell>
          <cell r="M256">
            <v>-13933514</v>
          </cell>
          <cell r="AR256" t="str">
            <v>15667</v>
          </cell>
        </row>
        <row r="257">
          <cell r="A257" t="str">
            <v>4105100300</v>
          </cell>
          <cell r="M257">
            <v>-5442444</v>
          </cell>
          <cell r="AR257" t="str">
            <v>25799</v>
          </cell>
        </row>
        <row r="258">
          <cell r="A258" t="str">
            <v>4105100300</v>
          </cell>
          <cell r="M258">
            <v>15178513</v>
          </cell>
          <cell r="AR258" t="str">
            <v>47001</v>
          </cell>
        </row>
        <row r="259">
          <cell r="A259" t="str">
            <v>4105100300</v>
          </cell>
          <cell r="M259">
            <v>-93740196</v>
          </cell>
          <cell r="AR259" t="str">
            <v>44847</v>
          </cell>
        </row>
        <row r="260">
          <cell r="A260" t="str">
            <v>4105100300</v>
          </cell>
          <cell r="M260">
            <v>-6737434</v>
          </cell>
          <cell r="AR260" t="str">
            <v>15667</v>
          </cell>
        </row>
        <row r="261">
          <cell r="A261" t="str">
            <v>4105100300</v>
          </cell>
          <cell r="M261">
            <v>-17607761</v>
          </cell>
          <cell r="AR261" t="str">
            <v>76001</v>
          </cell>
        </row>
        <row r="262">
          <cell r="A262" t="str">
            <v>4105100300</v>
          </cell>
          <cell r="M262">
            <v>-101108421</v>
          </cell>
          <cell r="AR262" t="str">
            <v>20250</v>
          </cell>
        </row>
        <row r="263">
          <cell r="A263" t="str">
            <v>4105100300</v>
          </cell>
          <cell r="M263">
            <v>-92816145</v>
          </cell>
          <cell r="AR263" t="str">
            <v>25736</v>
          </cell>
        </row>
        <row r="264">
          <cell r="A264" t="str">
            <v>4105100300</v>
          </cell>
          <cell r="M264">
            <v>-136811875</v>
          </cell>
          <cell r="AR264" t="str">
            <v>25736</v>
          </cell>
        </row>
        <row r="265">
          <cell r="A265" t="str">
            <v>4105100300</v>
          </cell>
          <cell r="M265">
            <v>-136811875</v>
          </cell>
          <cell r="AR265" t="str">
            <v>68092</v>
          </cell>
        </row>
        <row r="266">
          <cell r="A266" t="str">
            <v>4105100300</v>
          </cell>
          <cell r="M266">
            <v>-22642507</v>
          </cell>
          <cell r="AR266" t="str">
            <v>25736</v>
          </cell>
        </row>
        <row r="267">
          <cell r="A267" t="str">
            <v>4105100300</v>
          </cell>
          <cell r="M267">
            <v>-25455585</v>
          </cell>
          <cell r="AR267" t="str">
            <v>66001</v>
          </cell>
        </row>
        <row r="268">
          <cell r="A268" t="str">
            <v>4105100300</v>
          </cell>
          <cell r="M268">
            <v>-93740196</v>
          </cell>
          <cell r="AR268" t="str">
            <v>44035</v>
          </cell>
        </row>
        <row r="269">
          <cell r="A269" t="str">
            <v>4105100300</v>
          </cell>
          <cell r="M269">
            <v>-17625156</v>
          </cell>
          <cell r="AR269" t="str">
            <v>25754</v>
          </cell>
        </row>
        <row r="270">
          <cell r="A270" t="str">
            <v>4105100300</v>
          </cell>
          <cell r="M270">
            <v>-27828240</v>
          </cell>
          <cell r="AR270" t="str">
            <v>25736</v>
          </cell>
        </row>
        <row r="271">
          <cell r="A271" t="str">
            <v>4105100300</v>
          </cell>
          <cell r="M271">
            <v>-70470469</v>
          </cell>
          <cell r="AR271" t="str">
            <v>25754</v>
          </cell>
        </row>
        <row r="272">
          <cell r="A272" t="str">
            <v>4105100300</v>
          </cell>
          <cell r="M272">
            <v>-15497572</v>
          </cell>
          <cell r="AR272" t="str">
            <v>47001</v>
          </cell>
        </row>
        <row r="273">
          <cell r="A273" t="str">
            <v>4105100400</v>
          </cell>
          <cell r="M273">
            <v>62432894</v>
          </cell>
          <cell r="AR273" t="str">
            <v>76001</v>
          </cell>
        </row>
        <row r="274">
          <cell r="A274" t="str">
            <v>4105100400</v>
          </cell>
          <cell r="M274">
            <v>-16051473</v>
          </cell>
          <cell r="AR274" t="str">
            <v>25754</v>
          </cell>
        </row>
        <row r="275">
          <cell r="A275" t="str">
            <v>4105100400</v>
          </cell>
          <cell r="M275">
            <v>-84812558</v>
          </cell>
          <cell r="AR275" t="str">
            <v>44035</v>
          </cell>
        </row>
        <row r="276">
          <cell r="A276" t="str">
            <v>4105100400</v>
          </cell>
          <cell r="M276">
            <v>1373870</v>
          </cell>
          <cell r="AR276" t="str">
            <v>15690</v>
          </cell>
        </row>
        <row r="277">
          <cell r="A277" t="str">
            <v>4105100400</v>
          </cell>
          <cell r="M277">
            <v>-23196642</v>
          </cell>
          <cell r="AR277" t="str">
            <v>66001</v>
          </cell>
        </row>
        <row r="278">
          <cell r="A278" t="str">
            <v>4105100400</v>
          </cell>
          <cell r="M278">
            <v>-25013383</v>
          </cell>
          <cell r="AR278" t="str">
            <v>25736</v>
          </cell>
        </row>
        <row r="279">
          <cell r="A279" t="str">
            <v>4105100400</v>
          </cell>
          <cell r="M279">
            <v>-6055935</v>
          </cell>
          <cell r="AR279" t="str">
            <v>15690</v>
          </cell>
        </row>
        <row r="280">
          <cell r="A280" t="str">
            <v>4105100400</v>
          </cell>
          <cell r="M280">
            <v>-14328284</v>
          </cell>
          <cell r="AR280" t="str">
            <v>25736</v>
          </cell>
        </row>
        <row r="281">
          <cell r="A281" t="str">
            <v>4105100400</v>
          </cell>
          <cell r="M281">
            <v>90385791</v>
          </cell>
          <cell r="AR281" t="str">
            <v>66001</v>
          </cell>
        </row>
        <row r="282">
          <cell r="A282" t="str">
            <v>4105100400</v>
          </cell>
          <cell r="M282">
            <v>-60747687</v>
          </cell>
          <cell r="AR282" t="str">
            <v>05347</v>
          </cell>
        </row>
        <row r="283">
          <cell r="A283" t="str">
            <v>4105100400</v>
          </cell>
          <cell r="M283">
            <v>13928327</v>
          </cell>
          <cell r="AR283" t="str">
            <v>05347</v>
          </cell>
        </row>
        <row r="284">
          <cell r="A284" t="str">
            <v>4105100400</v>
          </cell>
          <cell r="M284">
            <v>-20620843</v>
          </cell>
          <cell r="AR284" t="str">
            <v>25736</v>
          </cell>
        </row>
        <row r="285">
          <cell r="A285" t="str">
            <v>4105100400</v>
          </cell>
          <cell r="M285">
            <v>-15946570</v>
          </cell>
          <cell r="AR285" t="str">
            <v>25754</v>
          </cell>
        </row>
        <row r="286">
          <cell r="A286" t="str">
            <v>4105100400</v>
          </cell>
          <cell r="M286">
            <v>-60282465</v>
          </cell>
          <cell r="AR286" t="str">
            <v>44035</v>
          </cell>
        </row>
        <row r="287">
          <cell r="A287" t="str">
            <v>4105100400</v>
          </cell>
          <cell r="M287">
            <v>-69021342</v>
          </cell>
          <cell r="AR287" t="str">
            <v>76001</v>
          </cell>
        </row>
        <row r="288">
          <cell r="A288" t="str">
            <v>4105100400</v>
          </cell>
          <cell r="M288">
            <v>121165027</v>
          </cell>
          <cell r="AR288" t="str">
            <v>25736</v>
          </cell>
        </row>
        <row r="289">
          <cell r="A289" t="str">
            <v>4105100400</v>
          </cell>
          <cell r="M289">
            <v>13732940</v>
          </cell>
          <cell r="AR289" t="str">
            <v>47001</v>
          </cell>
        </row>
        <row r="290">
          <cell r="A290" t="str">
            <v>4105100400</v>
          </cell>
          <cell r="M290">
            <v>62432894</v>
          </cell>
          <cell r="AR290" t="str">
            <v>76892</v>
          </cell>
        </row>
        <row r="291">
          <cell r="A291" t="str">
            <v>4105100400</v>
          </cell>
          <cell r="M291">
            <v>59854463</v>
          </cell>
          <cell r="AR291" t="str">
            <v>05347</v>
          </cell>
        </row>
        <row r="292">
          <cell r="A292" t="str">
            <v>4105100400</v>
          </cell>
          <cell r="M292">
            <v>-6095773</v>
          </cell>
          <cell r="AR292" t="str">
            <v>15690</v>
          </cell>
        </row>
        <row r="293">
          <cell r="A293" t="str">
            <v>4105100400</v>
          </cell>
          <cell r="M293">
            <v>-4956509</v>
          </cell>
          <cell r="AR293" t="str">
            <v>25799</v>
          </cell>
        </row>
        <row r="294">
          <cell r="A294" t="str">
            <v>4105100400</v>
          </cell>
          <cell r="M294">
            <v>24645590</v>
          </cell>
          <cell r="AR294" t="str">
            <v>15667</v>
          </cell>
        </row>
        <row r="295">
          <cell r="A295" t="str">
            <v>4105100400</v>
          </cell>
          <cell r="M295">
            <v>-122973204</v>
          </cell>
          <cell r="AR295" t="str">
            <v>68092</v>
          </cell>
        </row>
        <row r="296">
          <cell r="A296" t="str">
            <v>4105100400</v>
          </cell>
          <cell r="M296">
            <v>-60693627</v>
          </cell>
          <cell r="AR296" t="str">
            <v>44035</v>
          </cell>
        </row>
        <row r="297">
          <cell r="A297" t="str">
            <v>4105100400</v>
          </cell>
          <cell r="M297">
            <v>11698430</v>
          </cell>
          <cell r="AR297" t="str">
            <v>47189</v>
          </cell>
        </row>
        <row r="298">
          <cell r="A298" t="str">
            <v>4105100400</v>
          </cell>
          <cell r="M298">
            <v>-14328284</v>
          </cell>
          <cell r="AR298" t="str">
            <v>25799</v>
          </cell>
        </row>
        <row r="299">
          <cell r="A299" t="str">
            <v>4105100400</v>
          </cell>
          <cell r="M299">
            <v>14025339</v>
          </cell>
          <cell r="AR299" t="str">
            <v>25799</v>
          </cell>
        </row>
        <row r="300">
          <cell r="A300" t="str">
            <v>4105100400</v>
          </cell>
          <cell r="M300">
            <v>-13937880</v>
          </cell>
          <cell r="AR300" t="str">
            <v>47001</v>
          </cell>
        </row>
        <row r="301">
          <cell r="A301" t="str">
            <v>4105100400</v>
          </cell>
          <cell r="M301">
            <v>-11873009</v>
          </cell>
          <cell r="AR301" t="str">
            <v>47189</v>
          </cell>
        </row>
        <row r="302">
          <cell r="A302" t="str">
            <v>4105100400</v>
          </cell>
          <cell r="M302">
            <v>-27833358</v>
          </cell>
          <cell r="AR302" t="str">
            <v>20250</v>
          </cell>
        </row>
        <row r="303">
          <cell r="A303" t="str">
            <v>4105100400</v>
          </cell>
          <cell r="M303">
            <v>-23031244</v>
          </cell>
          <cell r="AR303" t="str">
            <v>66001</v>
          </cell>
        </row>
        <row r="304">
          <cell r="A304" t="str">
            <v>4105100400</v>
          </cell>
          <cell r="M304">
            <v>-83427691</v>
          </cell>
          <cell r="AR304" t="str">
            <v>25736</v>
          </cell>
        </row>
        <row r="305">
          <cell r="A305" t="str">
            <v>4105100400</v>
          </cell>
          <cell r="M305">
            <v>90385791</v>
          </cell>
          <cell r="AR305" t="str">
            <v>76001</v>
          </cell>
        </row>
        <row r="306">
          <cell r="A306" t="str">
            <v>4105100400</v>
          </cell>
          <cell r="M306">
            <v>-28023198</v>
          </cell>
          <cell r="AR306" t="str">
            <v>20250</v>
          </cell>
        </row>
        <row r="307">
          <cell r="A307" t="str">
            <v>4105100400</v>
          </cell>
          <cell r="M307">
            <v>15712094</v>
          </cell>
          <cell r="AR307" t="str">
            <v>25754</v>
          </cell>
        </row>
        <row r="308">
          <cell r="A308" t="str">
            <v>4105100400</v>
          </cell>
          <cell r="M308">
            <v>-61183943</v>
          </cell>
          <cell r="AR308" t="str">
            <v>05347</v>
          </cell>
        </row>
        <row r="309">
          <cell r="A309" t="str">
            <v>4105100400</v>
          </cell>
          <cell r="M309">
            <v>39889140</v>
          </cell>
          <cell r="AR309" t="str">
            <v>44847</v>
          </cell>
        </row>
        <row r="310">
          <cell r="A310" t="str">
            <v>4105100400</v>
          </cell>
          <cell r="M310">
            <v>-83976512</v>
          </cell>
          <cell r="AR310" t="str">
            <v>25736</v>
          </cell>
        </row>
        <row r="311">
          <cell r="A311" t="str">
            <v>4105100400</v>
          </cell>
          <cell r="M311">
            <v>20184854</v>
          </cell>
          <cell r="AR311" t="str">
            <v>25736</v>
          </cell>
        </row>
        <row r="312">
          <cell r="A312" t="str">
            <v>4105100400</v>
          </cell>
          <cell r="M312">
            <v>-16045238</v>
          </cell>
          <cell r="AR312" t="str">
            <v>76001</v>
          </cell>
        </row>
        <row r="313">
          <cell r="A313" t="str">
            <v>4105100400</v>
          </cell>
          <cell r="M313">
            <v>15696587</v>
          </cell>
          <cell r="AR313" t="str">
            <v>76001</v>
          </cell>
        </row>
        <row r="314">
          <cell r="A314" t="str">
            <v>4105100400</v>
          </cell>
          <cell r="M314">
            <v>-15930831</v>
          </cell>
          <cell r="AR314" t="str">
            <v>76001</v>
          </cell>
        </row>
        <row r="315">
          <cell r="A315" t="str">
            <v>4105100400</v>
          </cell>
          <cell r="M315">
            <v>-64178429</v>
          </cell>
          <cell r="AR315" t="str">
            <v>25754</v>
          </cell>
        </row>
        <row r="316">
          <cell r="A316" t="str">
            <v>4105100400</v>
          </cell>
          <cell r="M316">
            <v>-11944337</v>
          </cell>
          <cell r="AR316" t="str">
            <v>47189</v>
          </cell>
        </row>
        <row r="317">
          <cell r="A317" t="str">
            <v>4105100400</v>
          </cell>
          <cell r="M317">
            <v>-63758996</v>
          </cell>
          <cell r="AR317" t="str">
            <v>25754</v>
          </cell>
        </row>
        <row r="318">
          <cell r="A318" t="str">
            <v>4105100400</v>
          </cell>
          <cell r="M318">
            <v>-8705869</v>
          </cell>
          <cell r="AR318" t="str">
            <v>76892</v>
          </cell>
        </row>
        <row r="319">
          <cell r="A319" t="str">
            <v>4105100400</v>
          </cell>
          <cell r="M319">
            <v>-40484416</v>
          </cell>
          <cell r="AR319" t="str">
            <v>44847</v>
          </cell>
        </row>
        <row r="320">
          <cell r="A320" t="str">
            <v>4105100400</v>
          </cell>
          <cell r="M320">
            <v>67521561</v>
          </cell>
          <cell r="AR320" t="str">
            <v>76001</v>
          </cell>
        </row>
        <row r="321">
          <cell r="A321" t="str">
            <v>4105100400</v>
          </cell>
          <cell r="M321">
            <v>-6095773</v>
          </cell>
          <cell r="AR321" t="str">
            <v>15667</v>
          </cell>
        </row>
        <row r="322">
          <cell r="A322" t="str">
            <v>4105100400</v>
          </cell>
          <cell r="M322">
            <v>14025339</v>
          </cell>
          <cell r="AR322" t="str">
            <v>25736</v>
          </cell>
        </row>
        <row r="323">
          <cell r="A323" t="str">
            <v>4105100400</v>
          </cell>
          <cell r="M323">
            <v>-14136183</v>
          </cell>
          <cell r="AR323" t="str">
            <v>05347</v>
          </cell>
        </row>
        <row r="324">
          <cell r="A324" t="str">
            <v>4105100400</v>
          </cell>
          <cell r="M324">
            <v>-4924116</v>
          </cell>
          <cell r="AR324" t="str">
            <v>25799</v>
          </cell>
        </row>
        <row r="325">
          <cell r="A325" t="str">
            <v>4105100400</v>
          </cell>
          <cell r="M325">
            <v>24645590</v>
          </cell>
          <cell r="AR325" t="str">
            <v>25736</v>
          </cell>
        </row>
        <row r="326">
          <cell r="A326" t="str">
            <v>4105100400</v>
          </cell>
          <cell r="M326">
            <v>-68529202</v>
          </cell>
          <cell r="AR326" t="str">
            <v>76001</v>
          </cell>
        </row>
        <row r="327">
          <cell r="A327" t="str">
            <v>4105100400</v>
          </cell>
          <cell r="M327">
            <v>-92102989</v>
          </cell>
          <cell r="AR327" t="str">
            <v>44035</v>
          </cell>
        </row>
        <row r="328">
          <cell r="A328" t="str">
            <v>4105100400</v>
          </cell>
          <cell r="M328">
            <v>-91479048</v>
          </cell>
          <cell r="AR328" t="str">
            <v>20250</v>
          </cell>
        </row>
        <row r="329">
          <cell r="A329" t="str">
            <v>4105100400</v>
          </cell>
          <cell r="M329">
            <v>-60747687</v>
          </cell>
          <cell r="AR329" t="str">
            <v>66001</v>
          </cell>
        </row>
        <row r="330">
          <cell r="A330" t="str">
            <v>4105100400</v>
          </cell>
          <cell r="M330">
            <v>27424101</v>
          </cell>
          <cell r="AR330" t="str">
            <v>20250</v>
          </cell>
        </row>
        <row r="331">
          <cell r="A331" t="str">
            <v>4105100400</v>
          </cell>
          <cell r="M331">
            <v>83565489</v>
          </cell>
          <cell r="AR331" t="str">
            <v>44847</v>
          </cell>
        </row>
        <row r="332">
          <cell r="A332" t="str">
            <v>4105100400</v>
          </cell>
          <cell r="M332">
            <v>82200984</v>
          </cell>
          <cell r="AR332" t="str">
            <v>25736</v>
          </cell>
        </row>
        <row r="333">
          <cell r="A333" t="str">
            <v>4105100400</v>
          </cell>
          <cell r="M333">
            <v>-63819646</v>
          </cell>
          <cell r="AR333" t="str">
            <v>76001</v>
          </cell>
        </row>
        <row r="334">
          <cell r="A334" t="str">
            <v>4105100400</v>
          </cell>
          <cell r="M334">
            <v>5966889</v>
          </cell>
          <cell r="AR334" t="str">
            <v>15667</v>
          </cell>
        </row>
        <row r="335">
          <cell r="A335" t="str">
            <v>4105100400</v>
          </cell>
          <cell r="M335">
            <v>-17961308</v>
          </cell>
          <cell r="AR335" t="str">
            <v>68092</v>
          </cell>
        </row>
        <row r="336">
          <cell r="A336" t="str">
            <v>4105100400</v>
          </cell>
          <cell r="M336">
            <v>5966889</v>
          </cell>
          <cell r="AR336" t="str">
            <v>15690</v>
          </cell>
        </row>
        <row r="337">
          <cell r="A337" t="str">
            <v>4105100400</v>
          </cell>
          <cell r="M337">
            <v>-40760544</v>
          </cell>
          <cell r="AR337" t="str">
            <v>44847</v>
          </cell>
        </row>
        <row r="338">
          <cell r="A338" t="str">
            <v>4105100400</v>
          </cell>
          <cell r="M338">
            <v>-123782172</v>
          </cell>
          <cell r="AR338" t="str">
            <v>25736</v>
          </cell>
        </row>
        <row r="339">
          <cell r="A339" t="str">
            <v>4105100400</v>
          </cell>
          <cell r="M339">
            <v>90133955</v>
          </cell>
          <cell r="AR339" t="str">
            <v>44035</v>
          </cell>
        </row>
        <row r="340">
          <cell r="A340" t="str">
            <v>4105100400</v>
          </cell>
          <cell r="M340">
            <v>8516697</v>
          </cell>
          <cell r="AR340" t="str">
            <v>76892</v>
          </cell>
        </row>
        <row r="341">
          <cell r="A341" t="str">
            <v>4105100400</v>
          </cell>
          <cell r="M341">
            <v>-17843924</v>
          </cell>
          <cell r="AR341" t="str">
            <v>68092</v>
          </cell>
        </row>
        <row r="342">
          <cell r="A342" t="str">
            <v>4105100400</v>
          </cell>
          <cell r="M342">
            <v>17581550</v>
          </cell>
          <cell r="AR342" t="str">
            <v>68092</v>
          </cell>
        </row>
        <row r="343">
          <cell r="A343" t="str">
            <v>4105100400</v>
          </cell>
          <cell r="M343">
            <v>-20486077</v>
          </cell>
          <cell r="AR343" t="str">
            <v>25736</v>
          </cell>
        </row>
        <row r="344">
          <cell r="A344" t="str">
            <v>4105100400</v>
          </cell>
          <cell r="M344">
            <v>62821494</v>
          </cell>
          <cell r="AR344" t="str">
            <v>25754</v>
          </cell>
        </row>
        <row r="345">
          <cell r="A345" t="str">
            <v>4105100400</v>
          </cell>
          <cell r="M345">
            <v>-25013383</v>
          </cell>
          <cell r="AR345" t="str">
            <v>15667</v>
          </cell>
        </row>
        <row r="346">
          <cell r="A346" t="str">
            <v>4105100400</v>
          </cell>
          <cell r="M346">
            <v>-8643794</v>
          </cell>
          <cell r="AR346" t="str">
            <v>76892</v>
          </cell>
        </row>
        <row r="347">
          <cell r="A347" t="str">
            <v>4105100400</v>
          </cell>
          <cell r="M347">
            <v>-64178429</v>
          </cell>
          <cell r="AR347" t="str">
            <v>25736</v>
          </cell>
        </row>
        <row r="348">
          <cell r="A348" t="str">
            <v>4105100400</v>
          </cell>
          <cell r="M348">
            <v>-122973204</v>
          </cell>
          <cell r="AR348" t="str">
            <v>25736</v>
          </cell>
        </row>
        <row r="349">
          <cell r="A349" t="str">
            <v>4105100400</v>
          </cell>
          <cell r="M349">
            <v>-14237701</v>
          </cell>
          <cell r="AR349" t="str">
            <v>05347</v>
          </cell>
        </row>
        <row r="350">
          <cell r="A350" t="str">
            <v>4105100400</v>
          </cell>
          <cell r="M350">
            <v>-91479048</v>
          </cell>
          <cell r="AR350" t="str">
            <v>44035</v>
          </cell>
        </row>
        <row r="351">
          <cell r="A351" t="str">
            <v>4105100400</v>
          </cell>
          <cell r="M351">
            <v>-12689443</v>
          </cell>
          <cell r="AR351" t="str">
            <v>15667</v>
          </cell>
        </row>
        <row r="352">
          <cell r="A352" t="str">
            <v>4105100400</v>
          </cell>
          <cell r="M352">
            <v>-14234642</v>
          </cell>
          <cell r="AR352" t="str">
            <v>25736</v>
          </cell>
        </row>
        <row r="353">
          <cell r="A353" t="str">
            <v>4105100400</v>
          </cell>
          <cell r="M353">
            <v>-14234642</v>
          </cell>
          <cell r="AR353" t="str">
            <v>25799</v>
          </cell>
        </row>
        <row r="354">
          <cell r="A354" t="str">
            <v>4105100400</v>
          </cell>
          <cell r="M354">
            <v>-123782172</v>
          </cell>
          <cell r="AR354" t="str">
            <v>68092</v>
          </cell>
        </row>
        <row r="355">
          <cell r="A355" t="str">
            <v>4105100400</v>
          </cell>
          <cell r="M355">
            <v>62821494</v>
          </cell>
          <cell r="AR355" t="str">
            <v>25736</v>
          </cell>
        </row>
        <row r="356">
          <cell r="A356" t="str">
            <v>4105100400</v>
          </cell>
          <cell r="M356">
            <v>-25177931</v>
          </cell>
          <cell r="AR356" t="str">
            <v>25736</v>
          </cell>
        </row>
        <row r="357">
          <cell r="A357" t="str">
            <v>4105100400</v>
          </cell>
          <cell r="M357">
            <v>22692596</v>
          </cell>
          <cell r="AR357" t="str">
            <v>66001</v>
          </cell>
        </row>
        <row r="358">
          <cell r="A358" t="str">
            <v>4105100400</v>
          </cell>
          <cell r="M358">
            <v>-92393429</v>
          </cell>
          <cell r="AR358" t="str">
            <v>66001</v>
          </cell>
        </row>
        <row r="359">
          <cell r="A359" t="str">
            <v>4105100400</v>
          </cell>
          <cell r="M359">
            <v>-84812558</v>
          </cell>
          <cell r="AR359" t="str">
            <v>44847</v>
          </cell>
        </row>
        <row r="360">
          <cell r="A360" t="str">
            <v>4105100400</v>
          </cell>
          <cell r="M360">
            <v>121165027</v>
          </cell>
          <cell r="AR360" t="str">
            <v>68092</v>
          </cell>
        </row>
        <row r="361">
          <cell r="A361" t="str">
            <v>4105100400</v>
          </cell>
          <cell r="M361">
            <v>-92102989</v>
          </cell>
          <cell r="AR361" t="str">
            <v>20250</v>
          </cell>
        </row>
        <row r="362">
          <cell r="A362" t="str">
            <v>4105100400</v>
          </cell>
          <cell r="M362">
            <v>-91734641</v>
          </cell>
          <cell r="AR362" t="str">
            <v>76001</v>
          </cell>
        </row>
        <row r="363">
          <cell r="A363" t="str">
            <v>4105100400</v>
          </cell>
          <cell r="M363">
            <v>-12606513</v>
          </cell>
          <cell r="AR363" t="str">
            <v>15667</v>
          </cell>
        </row>
        <row r="364">
          <cell r="A364" t="str">
            <v>4105100400</v>
          </cell>
          <cell r="M364">
            <v>-1403545</v>
          </cell>
          <cell r="AR364" t="str">
            <v>15690</v>
          </cell>
        </row>
        <row r="365">
          <cell r="A365" t="str">
            <v>4105100400</v>
          </cell>
          <cell r="M365">
            <v>-85391030</v>
          </cell>
          <cell r="AR365" t="str">
            <v>44847</v>
          </cell>
        </row>
        <row r="366">
          <cell r="A366" t="str">
            <v>4105100400</v>
          </cell>
          <cell r="M366">
            <v>4851713</v>
          </cell>
          <cell r="AR366" t="str">
            <v>25799</v>
          </cell>
        </row>
        <row r="367">
          <cell r="A367" t="str">
            <v>4105100400</v>
          </cell>
          <cell r="M367">
            <v>59396082</v>
          </cell>
          <cell r="AR367" t="str">
            <v>44035</v>
          </cell>
        </row>
        <row r="368">
          <cell r="A368" t="str">
            <v>4105100400</v>
          </cell>
          <cell r="M368">
            <v>-92393429</v>
          </cell>
          <cell r="AR368" t="str">
            <v>76001</v>
          </cell>
        </row>
        <row r="369">
          <cell r="A369" t="str">
            <v>4105100400</v>
          </cell>
          <cell r="M369">
            <v>-63364596</v>
          </cell>
          <cell r="AR369" t="str">
            <v>76892</v>
          </cell>
        </row>
        <row r="370">
          <cell r="A370" t="str">
            <v>4105100400</v>
          </cell>
          <cell r="M370">
            <v>-6055935</v>
          </cell>
          <cell r="AR370" t="str">
            <v>15667</v>
          </cell>
        </row>
        <row r="371">
          <cell r="A371" t="str">
            <v>4105100400</v>
          </cell>
          <cell r="M371">
            <v>-1394372</v>
          </cell>
          <cell r="AR371" t="str">
            <v>15690</v>
          </cell>
        </row>
        <row r="372">
          <cell r="A372" t="str">
            <v>4105100400</v>
          </cell>
          <cell r="M372">
            <v>12421148</v>
          </cell>
          <cell r="AR372" t="str">
            <v>15667</v>
          </cell>
        </row>
        <row r="373">
          <cell r="A373" t="str">
            <v>4105100400</v>
          </cell>
          <cell r="M373">
            <v>83565489</v>
          </cell>
          <cell r="AR373" t="str">
            <v>44035</v>
          </cell>
        </row>
        <row r="374">
          <cell r="A374" t="str">
            <v>4105100400</v>
          </cell>
          <cell r="M374">
            <v>-14021613</v>
          </cell>
          <cell r="AR374" t="str">
            <v>47001</v>
          </cell>
        </row>
        <row r="375">
          <cell r="A375" t="str">
            <v>4105100400</v>
          </cell>
          <cell r="M375">
            <v>-63758996</v>
          </cell>
          <cell r="AR375" t="str">
            <v>25736</v>
          </cell>
        </row>
        <row r="376">
          <cell r="A376" t="str">
            <v>4105100400</v>
          </cell>
          <cell r="M376">
            <v>-63819646</v>
          </cell>
          <cell r="AR376" t="str">
            <v>76892</v>
          </cell>
        </row>
        <row r="377">
          <cell r="A377" t="str">
            <v>4105100400</v>
          </cell>
          <cell r="M377">
            <v>90133955</v>
          </cell>
          <cell r="AR377" t="str">
            <v>20250</v>
          </cell>
        </row>
        <row r="378">
          <cell r="A378" t="str">
            <v>4105100400</v>
          </cell>
          <cell r="M378">
            <v>-25177931</v>
          </cell>
          <cell r="AR378" t="str">
            <v>15667</v>
          </cell>
        </row>
        <row r="379">
          <cell r="A379" t="str">
            <v>4105100400</v>
          </cell>
          <cell r="M379">
            <v>59854463</v>
          </cell>
          <cell r="AR379" t="str">
            <v>66001</v>
          </cell>
        </row>
        <row r="380">
          <cell r="A380" t="str">
            <v>4105100400</v>
          </cell>
          <cell r="M380">
            <v>-61183943</v>
          </cell>
          <cell r="AR380" t="str">
            <v>66001</v>
          </cell>
        </row>
        <row r="381">
          <cell r="A381" t="str">
            <v>4105100400</v>
          </cell>
          <cell r="M381">
            <v>-63364596</v>
          </cell>
          <cell r="AR381" t="str">
            <v>76001</v>
          </cell>
        </row>
        <row r="382">
          <cell r="A382" t="str">
            <v>4105100400</v>
          </cell>
          <cell r="M382">
            <v>-85391030</v>
          </cell>
          <cell r="AR382" t="str">
            <v>44035</v>
          </cell>
        </row>
        <row r="383">
          <cell r="A383" t="str">
            <v>4105100400</v>
          </cell>
          <cell r="M383">
            <v>-91734641</v>
          </cell>
          <cell r="AR383" t="str">
            <v>66001</v>
          </cell>
        </row>
        <row r="384">
          <cell r="A384" t="str">
            <v>4105100500</v>
          </cell>
          <cell r="M384">
            <v>-70470469</v>
          </cell>
          <cell r="AR384" t="str">
            <v>25754</v>
          </cell>
        </row>
        <row r="385">
          <cell r="A385" t="str">
            <v>4105100500</v>
          </cell>
          <cell r="M385">
            <v>-135917752</v>
          </cell>
          <cell r="AR385" t="str">
            <v>25736</v>
          </cell>
        </row>
        <row r="386">
          <cell r="A386" t="str">
            <v>4105100500</v>
          </cell>
          <cell r="M386">
            <v>-19722232</v>
          </cell>
          <cell r="AR386" t="str">
            <v>68092</v>
          </cell>
        </row>
        <row r="387">
          <cell r="A387" t="str">
            <v>4105100500</v>
          </cell>
          <cell r="M387">
            <v>-30973009</v>
          </cell>
          <cell r="AR387" t="str">
            <v>20250</v>
          </cell>
        </row>
        <row r="388">
          <cell r="A388" t="str">
            <v>4105100500</v>
          </cell>
          <cell r="M388">
            <v>133919240</v>
          </cell>
          <cell r="AR388" t="str">
            <v>25736</v>
          </cell>
        </row>
        <row r="389">
          <cell r="A389" t="str">
            <v>4105100500</v>
          </cell>
          <cell r="M389">
            <v>-6693402</v>
          </cell>
          <cell r="AR389" t="str">
            <v>15690</v>
          </cell>
        </row>
        <row r="390">
          <cell r="A390" t="str">
            <v>4105100500</v>
          </cell>
          <cell r="M390">
            <v>99621740</v>
          </cell>
          <cell r="AR390" t="str">
            <v>44035</v>
          </cell>
        </row>
        <row r="391">
          <cell r="A391" t="str">
            <v>4105100500</v>
          </cell>
          <cell r="M391">
            <v>-5478247</v>
          </cell>
          <cell r="AR391" t="str">
            <v>25799</v>
          </cell>
        </row>
        <row r="392">
          <cell r="A392" t="str">
            <v>4105100500</v>
          </cell>
          <cell r="M392">
            <v>-17625156</v>
          </cell>
          <cell r="AR392" t="str">
            <v>25754</v>
          </cell>
        </row>
        <row r="393">
          <cell r="A393" t="str">
            <v>4105100500</v>
          </cell>
          <cell r="M393">
            <v>-93740196</v>
          </cell>
          <cell r="AR393" t="str">
            <v>44847</v>
          </cell>
        </row>
        <row r="394">
          <cell r="A394" t="str">
            <v>4105100500</v>
          </cell>
          <cell r="M394">
            <v>-22791458</v>
          </cell>
          <cell r="AR394" t="str">
            <v>25736</v>
          </cell>
        </row>
        <row r="395">
          <cell r="A395" t="str">
            <v>4105100500</v>
          </cell>
          <cell r="M395">
            <v>15394466</v>
          </cell>
          <cell r="AR395" t="str">
            <v>05347</v>
          </cell>
        </row>
        <row r="396">
          <cell r="A396" t="str">
            <v>4105100500</v>
          </cell>
          <cell r="M396">
            <v>9413192</v>
          </cell>
          <cell r="AR396" t="str">
            <v>76892</v>
          </cell>
        </row>
        <row r="397">
          <cell r="A397" t="str">
            <v>4105100500</v>
          </cell>
          <cell r="M397">
            <v>-6693402</v>
          </cell>
          <cell r="AR397" t="str">
            <v>15667</v>
          </cell>
        </row>
        <row r="398">
          <cell r="A398" t="str">
            <v>4105100500</v>
          </cell>
          <cell r="M398">
            <v>66154933</v>
          </cell>
          <cell r="AR398" t="str">
            <v>05347</v>
          </cell>
        </row>
        <row r="399">
          <cell r="A399" t="str">
            <v>4105100500</v>
          </cell>
          <cell r="M399">
            <v>-94379560</v>
          </cell>
          <cell r="AR399" t="str">
            <v>44847</v>
          </cell>
        </row>
        <row r="400">
          <cell r="A400" t="str">
            <v>4105100500</v>
          </cell>
          <cell r="M400">
            <v>-17607761</v>
          </cell>
          <cell r="AR400" t="str">
            <v>76001</v>
          </cell>
        </row>
        <row r="401">
          <cell r="A401" t="str">
            <v>4105100500</v>
          </cell>
          <cell r="M401">
            <v>-66627988</v>
          </cell>
          <cell r="AR401" t="str">
            <v>44035</v>
          </cell>
        </row>
        <row r="402">
          <cell r="A402" t="str">
            <v>4105100500</v>
          </cell>
          <cell r="M402">
            <v>-67142180</v>
          </cell>
          <cell r="AR402" t="str">
            <v>05347</v>
          </cell>
        </row>
        <row r="403">
          <cell r="A403" t="str">
            <v>4105100500</v>
          </cell>
          <cell r="M403">
            <v>-17734210</v>
          </cell>
          <cell r="AR403" t="str">
            <v>76001</v>
          </cell>
        </row>
        <row r="404">
          <cell r="A404" t="str">
            <v>4105100500</v>
          </cell>
          <cell r="M404">
            <v>-70470469</v>
          </cell>
          <cell r="AR404" t="str">
            <v>25736</v>
          </cell>
        </row>
        <row r="405">
          <cell r="A405" t="str">
            <v>4105100500</v>
          </cell>
          <cell r="M405">
            <v>25081291</v>
          </cell>
          <cell r="AR405" t="str">
            <v>66001</v>
          </cell>
        </row>
        <row r="406">
          <cell r="A406" t="str">
            <v>4105100500</v>
          </cell>
          <cell r="M406">
            <v>-25455585</v>
          </cell>
          <cell r="AR406" t="str">
            <v>66001</v>
          </cell>
        </row>
        <row r="407">
          <cell r="A407" t="str">
            <v>4105100500</v>
          </cell>
          <cell r="M407">
            <v>6594983</v>
          </cell>
          <cell r="AR407" t="str">
            <v>15667</v>
          </cell>
        </row>
        <row r="408">
          <cell r="A408" t="str">
            <v>4105100500</v>
          </cell>
          <cell r="M408">
            <v>19432239</v>
          </cell>
          <cell r="AR408" t="str">
            <v>68092</v>
          </cell>
        </row>
        <row r="409">
          <cell r="A409" t="str">
            <v>4105100500</v>
          </cell>
          <cell r="M409">
            <v>-13933514</v>
          </cell>
          <cell r="AR409" t="str">
            <v>15667</v>
          </cell>
        </row>
        <row r="410">
          <cell r="A410" t="str">
            <v>4105100500</v>
          </cell>
          <cell r="M410">
            <v>-135917752</v>
          </cell>
          <cell r="AR410" t="str">
            <v>68092</v>
          </cell>
        </row>
        <row r="411">
          <cell r="A411" t="str">
            <v>4105100500</v>
          </cell>
          <cell r="M411">
            <v>133919240</v>
          </cell>
          <cell r="AR411" t="str">
            <v>68092</v>
          </cell>
        </row>
        <row r="412">
          <cell r="A412" t="str">
            <v>4105100500</v>
          </cell>
          <cell r="M412">
            <v>5362419</v>
          </cell>
          <cell r="AR412" t="str">
            <v>25799</v>
          </cell>
        </row>
        <row r="413">
          <cell r="A413" t="str">
            <v>4105100500</v>
          </cell>
          <cell r="M413">
            <v>-15836524</v>
          </cell>
          <cell r="AR413" t="str">
            <v>25799</v>
          </cell>
        </row>
        <row r="414">
          <cell r="A414" t="str">
            <v>4105100500</v>
          </cell>
          <cell r="M414">
            <v>-1541148</v>
          </cell>
          <cell r="AR414" t="str">
            <v>15690</v>
          </cell>
        </row>
        <row r="415">
          <cell r="A415" t="str">
            <v>4105100500</v>
          </cell>
          <cell r="M415">
            <v>-5442444</v>
          </cell>
          <cell r="AR415" t="str">
            <v>25799</v>
          </cell>
        </row>
        <row r="416">
          <cell r="A416" t="str">
            <v>4105100500</v>
          </cell>
          <cell r="M416">
            <v>99621740</v>
          </cell>
          <cell r="AR416" t="str">
            <v>20250</v>
          </cell>
        </row>
        <row r="417">
          <cell r="A417" t="str">
            <v>4105100500</v>
          </cell>
          <cell r="M417">
            <v>44087997</v>
          </cell>
          <cell r="AR417" t="str">
            <v>44847</v>
          </cell>
        </row>
        <row r="418">
          <cell r="A418" t="str">
            <v>4105100500</v>
          </cell>
          <cell r="M418">
            <v>27239863</v>
          </cell>
          <cell r="AR418" t="str">
            <v>25736</v>
          </cell>
        </row>
        <row r="419">
          <cell r="A419" t="str">
            <v>4105100500</v>
          </cell>
          <cell r="M419">
            <v>-93740196</v>
          </cell>
          <cell r="AR419" t="str">
            <v>44035</v>
          </cell>
        </row>
        <row r="420">
          <cell r="A420" t="str">
            <v>4105100500</v>
          </cell>
          <cell r="M420">
            <v>6594983</v>
          </cell>
          <cell r="AR420" t="str">
            <v>15690</v>
          </cell>
        </row>
        <row r="421">
          <cell r="A421" t="str">
            <v>4105100500</v>
          </cell>
          <cell r="M421">
            <v>22309575</v>
          </cell>
          <cell r="AR421" t="str">
            <v>25736</v>
          </cell>
        </row>
        <row r="422">
          <cell r="A422" t="str">
            <v>4105100500</v>
          </cell>
          <cell r="M422">
            <v>-44745934</v>
          </cell>
          <cell r="AR422" t="str">
            <v>44847</v>
          </cell>
        </row>
        <row r="423">
          <cell r="A423" t="str">
            <v>4105100500</v>
          </cell>
          <cell r="M423">
            <v>-15733026</v>
          </cell>
          <cell r="AR423" t="str">
            <v>25799</v>
          </cell>
        </row>
        <row r="424">
          <cell r="A424" t="str">
            <v>4105100500</v>
          </cell>
          <cell r="M424">
            <v>15501690</v>
          </cell>
          <cell r="AR424" t="str">
            <v>25799</v>
          </cell>
        </row>
        <row r="425">
          <cell r="A425" t="str">
            <v>4105100500</v>
          </cell>
          <cell r="M425">
            <v>-14025174</v>
          </cell>
          <cell r="AR425" t="str">
            <v>15667</v>
          </cell>
        </row>
        <row r="426">
          <cell r="A426" t="str">
            <v>4105100500</v>
          </cell>
          <cell r="M426">
            <v>-15836524</v>
          </cell>
          <cell r="AR426" t="str">
            <v>25736</v>
          </cell>
        </row>
        <row r="427">
          <cell r="A427" t="str">
            <v>4105100500</v>
          </cell>
          <cell r="M427">
            <v>99900084</v>
          </cell>
          <cell r="AR427" t="str">
            <v>76001</v>
          </cell>
        </row>
        <row r="428">
          <cell r="A428" t="str">
            <v>4105100500</v>
          </cell>
          <cell r="M428">
            <v>-92209553</v>
          </cell>
          <cell r="AR428" t="str">
            <v>25736</v>
          </cell>
        </row>
        <row r="429">
          <cell r="A429" t="str">
            <v>4105100500</v>
          </cell>
          <cell r="M429">
            <v>-27828240</v>
          </cell>
          <cell r="AR429" t="str">
            <v>15667</v>
          </cell>
        </row>
        <row r="430">
          <cell r="A430" t="str">
            <v>4105100500</v>
          </cell>
          <cell r="M430">
            <v>66154933</v>
          </cell>
          <cell r="AR430" t="str">
            <v>66001</v>
          </cell>
        </row>
        <row r="431">
          <cell r="A431" t="str">
            <v>4105100500</v>
          </cell>
          <cell r="M431">
            <v>-6737434</v>
          </cell>
          <cell r="AR431" t="str">
            <v>15667</v>
          </cell>
        </row>
        <row r="432">
          <cell r="A432" t="str">
            <v>4105100500</v>
          </cell>
          <cell r="M432">
            <v>-15497572</v>
          </cell>
          <cell r="AR432" t="str">
            <v>47001</v>
          </cell>
        </row>
        <row r="433">
          <cell r="A433" t="str">
            <v>4105100500</v>
          </cell>
          <cell r="M433">
            <v>-15736406</v>
          </cell>
          <cell r="AR433" t="str">
            <v>05347</v>
          </cell>
        </row>
        <row r="434">
          <cell r="A434" t="str">
            <v>4105100500</v>
          </cell>
          <cell r="M434">
            <v>-25638393</v>
          </cell>
          <cell r="AR434" t="str">
            <v>66001</v>
          </cell>
        </row>
        <row r="435">
          <cell r="A435" t="str">
            <v>4105100500</v>
          </cell>
          <cell r="M435">
            <v>-45051128</v>
          </cell>
          <cell r="AR435" t="str">
            <v>44847</v>
          </cell>
        </row>
        <row r="436">
          <cell r="A436" t="str">
            <v>4105100500</v>
          </cell>
          <cell r="M436">
            <v>69004778</v>
          </cell>
          <cell r="AR436" t="str">
            <v>76892</v>
          </cell>
        </row>
        <row r="437">
          <cell r="A437" t="str">
            <v>4105100500</v>
          </cell>
          <cell r="M437">
            <v>74629093</v>
          </cell>
          <cell r="AR437" t="str">
            <v>76001</v>
          </cell>
        </row>
        <row r="438">
          <cell r="A438" t="str">
            <v>4105100500</v>
          </cell>
          <cell r="M438">
            <v>-70034554</v>
          </cell>
          <cell r="AR438" t="str">
            <v>76001</v>
          </cell>
        </row>
        <row r="439">
          <cell r="A439" t="str">
            <v>4105100500</v>
          </cell>
          <cell r="M439">
            <v>99900084</v>
          </cell>
          <cell r="AR439" t="str">
            <v>66001</v>
          </cell>
        </row>
        <row r="440">
          <cell r="A440" t="str">
            <v>4105100500</v>
          </cell>
          <cell r="M440">
            <v>-15733026</v>
          </cell>
          <cell r="AR440" t="str">
            <v>25736</v>
          </cell>
        </row>
        <row r="441">
          <cell r="A441" t="str">
            <v>4105100500</v>
          </cell>
          <cell r="M441">
            <v>-27646371</v>
          </cell>
          <cell r="AR441" t="str">
            <v>25736</v>
          </cell>
        </row>
        <row r="442">
          <cell r="A442" t="str">
            <v>4105100500</v>
          </cell>
          <cell r="M442">
            <v>-13201636</v>
          </cell>
          <cell r="AR442" t="str">
            <v>47189</v>
          </cell>
        </row>
        <row r="443">
          <cell r="A443" t="str">
            <v>4105100500</v>
          </cell>
          <cell r="M443">
            <v>12929844</v>
          </cell>
          <cell r="AR443" t="str">
            <v>47189</v>
          </cell>
        </row>
        <row r="444">
          <cell r="A444" t="str">
            <v>4105100500</v>
          </cell>
          <cell r="M444">
            <v>-1551287</v>
          </cell>
          <cell r="AR444" t="str">
            <v>15690</v>
          </cell>
        </row>
        <row r="445">
          <cell r="A445" t="str">
            <v>4105100500</v>
          </cell>
          <cell r="M445">
            <v>15501690</v>
          </cell>
          <cell r="AR445" t="str">
            <v>25736</v>
          </cell>
        </row>
        <row r="446">
          <cell r="A446" t="str">
            <v>4105100500</v>
          </cell>
          <cell r="M446">
            <v>-27646371</v>
          </cell>
          <cell r="AR446" t="str">
            <v>15667</v>
          </cell>
        </row>
        <row r="447">
          <cell r="A447" t="str">
            <v>4105100500</v>
          </cell>
          <cell r="M447">
            <v>-19851972</v>
          </cell>
          <cell r="AR447" t="str">
            <v>68092</v>
          </cell>
        </row>
        <row r="448">
          <cell r="A448" t="str">
            <v>4105100500</v>
          </cell>
          <cell r="M448">
            <v>90853719</v>
          </cell>
          <cell r="AR448" t="str">
            <v>25736</v>
          </cell>
        </row>
        <row r="449">
          <cell r="A449" t="str">
            <v>4105100500</v>
          </cell>
          <cell r="M449">
            <v>-67082430</v>
          </cell>
          <cell r="AR449" t="str">
            <v>44035</v>
          </cell>
        </row>
        <row r="450">
          <cell r="A450" t="str">
            <v>4105100500</v>
          </cell>
          <cell r="M450">
            <v>-102119053</v>
          </cell>
          <cell r="AR450" t="str">
            <v>76001</v>
          </cell>
        </row>
        <row r="451">
          <cell r="A451" t="str">
            <v>4105100500</v>
          </cell>
          <cell r="M451">
            <v>-67142180</v>
          </cell>
          <cell r="AR451" t="str">
            <v>66001</v>
          </cell>
        </row>
        <row r="452">
          <cell r="A452" t="str">
            <v>4105100500</v>
          </cell>
          <cell r="M452">
            <v>-101798041</v>
          </cell>
          <cell r="AR452" t="str">
            <v>20250</v>
          </cell>
        </row>
        <row r="453">
          <cell r="A453" t="str">
            <v>4105100500</v>
          </cell>
          <cell r="M453">
            <v>-94379560</v>
          </cell>
          <cell r="AR453" t="str">
            <v>44035</v>
          </cell>
        </row>
        <row r="454">
          <cell r="A454" t="str">
            <v>4105100500</v>
          </cell>
          <cell r="M454">
            <v>-67624358</v>
          </cell>
          <cell r="AR454" t="str">
            <v>66001</v>
          </cell>
        </row>
        <row r="455">
          <cell r="A455" t="str">
            <v>4105100500</v>
          </cell>
          <cell r="M455">
            <v>69434283</v>
          </cell>
          <cell r="AR455" t="str">
            <v>25754</v>
          </cell>
        </row>
        <row r="456">
          <cell r="A456" t="str">
            <v>4105100500</v>
          </cell>
          <cell r="M456">
            <v>69004778</v>
          </cell>
          <cell r="AR456" t="str">
            <v>76001</v>
          </cell>
        </row>
        <row r="457">
          <cell r="A457" t="str">
            <v>4105100500</v>
          </cell>
          <cell r="M457">
            <v>-70034554</v>
          </cell>
          <cell r="AR457" t="str">
            <v>76892</v>
          </cell>
        </row>
        <row r="458">
          <cell r="A458" t="str">
            <v>4105100500</v>
          </cell>
          <cell r="M458">
            <v>-67624358</v>
          </cell>
          <cell r="AR458" t="str">
            <v>05347</v>
          </cell>
        </row>
        <row r="459">
          <cell r="A459" t="str">
            <v>4105100500</v>
          </cell>
          <cell r="M459">
            <v>1518488</v>
          </cell>
          <cell r="AR459" t="str">
            <v>15690</v>
          </cell>
        </row>
        <row r="460">
          <cell r="A460" t="str">
            <v>4105100500</v>
          </cell>
          <cell r="M460">
            <v>-101108421</v>
          </cell>
          <cell r="AR460" t="str">
            <v>44035</v>
          </cell>
        </row>
        <row r="461">
          <cell r="A461" t="str">
            <v>4105100500</v>
          </cell>
          <cell r="M461">
            <v>-15405026</v>
          </cell>
          <cell r="AR461" t="str">
            <v>47001</v>
          </cell>
        </row>
        <row r="462">
          <cell r="A462" t="str">
            <v>4105100500</v>
          </cell>
          <cell r="M462">
            <v>-92816145</v>
          </cell>
          <cell r="AR462" t="str">
            <v>25736</v>
          </cell>
        </row>
        <row r="463">
          <cell r="A463" t="str">
            <v>4105100500</v>
          </cell>
          <cell r="M463">
            <v>-22642507</v>
          </cell>
          <cell r="AR463" t="str">
            <v>25736</v>
          </cell>
        </row>
        <row r="464">
          <cell r="A464" t="str">
            <v>4105100500</v>
          </cell>
          <cell r="M464">
            <v>-13122800</v>
          </cell>
          <cell r="AR464" t="str">
            <v>47189</v>
          </cell>
        </row>
        <row r="465">
          <cell r="A465" t="str">
            <v>4105100500</v>
          </cell>
          <cell r="M465">
            <v>-27828240</v>
          </cell>
          <cell r="AR465" t="str">
            <v>25736</v>
          </cell>
        </row>
        <row r="466">
          <cell r="A466" t="str">
            <v>4105100500</v>
          </cell>
          <cell r="M466">
            <v>27239863</v>
          </cell>
          <cell r="AR466" t="str">
            <v>15667</v>
          </cell>
        </row>
        <row r="467">
          <cell r="A467" t="str">
            <v>4105100500</v>
          </cell>
          <cell r="M467">
            <v>-101390919</v>
          </cell>
          <cell r="AR467" t="str">
            <v>76001</v>
          </cell>
        </row>
        <row r="468">
          <cell r="A468" t="str">
            <v>4105100500</v>
          </cell>
          <cell r="M468">
            <v>-70537504</v>
          </cell>
          <cell r="AR468" t="str">
            <v>76001</v>
          </cell>
        </row>
        <row r="469">
          <cell r="A469" t="str">
            <v>4105100500</v>
          </cell>
          <cell r="M469">
            <v>-9622276</v>
          </cell>
          <cell r="AR469" t="str">
            <v>76892</v>
          </cell>
        </row>
        <row r="470">
          <cell r="A470" t="str">
            <v>4105100500</v>
          </cell>
          <cell r="M470">
            <v>-101108421</v>
          </cell>
          <cell r="AR470" t="str">
            <v>20250</v>
          </cell>
        </row>
        <row r="471">
          <cell r="A471" t="str">
            <v>4105100500</v>
          </cell>
          <cell r="M471">
            <v>-70934053</v>
          </cell>
          <cell r="AR471" t="str">
            <v>25754</v>
          </cell>
        </row>
        <row r="472">
          <cell r="A472" t="str">
            <v>4105100500</v>
          </cell>
          <cell r="M472">
            <v>-76286746</v>
          </cell>
          <cell r="AR472" t="str">
            <v>76001</v>
          </cell>
        </row>
        <row r="473">
          <cell r="A473" t="str">
            <v>4105100500</v>
          </cell>
          <cell r="M473">
            <v>-30763185</v>
          </cell>
          <cell r="AR473" t="str">
            <v>20250</v>
          </cell>
        </row>
        <row r="474">
          <cell r="A474" t="str">
            <v>4105100500</v>
          </cell>
          <cell r="M474">
            <v>-9553667</v>
          </cell>
          <cell r="AR474" t="str">
            <v>76892</v>
          </cell>
        </row>
        <row r="475">
          <cell r="A475" t="str">
            <v>4105100500</v>
          </cell>
          <cell r="M475">
            <v>-136811875</v>
          </cell>
          <cell r="AR475" t="str">
            <v>25736</v>
          </cell>
        </row>
        <row r="476">
          <cell r="A476" t="str">
            <v>4105100500</v>
          </cell>
          <cell r="M476">
            <v>-70934053</v>
          </cell>
          <cell r="AR476" t="str">
            <v>25736</v>
          </cell>
        </row>
        <row r="477">
          <cell r="A477" t="str">
            <v>4105100500</v>
          </cell>
          <cell r="M477">
            <v>17348859</v>
          </cell>
          <cell r="AR477" t="str">
            <v>76001</v>
          </cell>
        </row>
        <row r="478">
          <cell r="A478" t="str">
            <v>4105100500</v>
          </cell>
          <cell r="M478">
            <v>65648301</v>
          </cell>
          <cell r="AR478" t="str">
            <v>44035</v>
          </cell>
        </row>
        <row r="479">
          <cell r="A479" t="str">
            <v>4105100500</v>
          </cell>
          <cell r="M479">
            <v>-75742803</v>
          </cell>
          <cell r="AR479" t="str">
            <v>76001</v>
          </cell>
        </row>
        <row r="480">
          <cell r="A480" t="str">
            <v>4105100500</v>
          </cell>
          <cell r="M480">
            <v>-17741101</v>
          </cell>
          <cell r="AR480" t="str">
            <v>25754</v>
          </cell>
        </row>
        <row r="481">
          <cell r="A481" t="str">
            <v>4105100500</v>
          </cell>
          <cell r="M481">
            <v>-101798041</v>
          </cell>
          <cell r="AR481" t="str">
            <v>44035</v>
          </cell>
        </row>
        <row r="482">
          <cell r="A482" t="str">
            <v>4105100500</v>
          </cell>
          <cell r="M482">
            <v>-136811875</v>
          </cell>
          <cell r="AR482" t="str">
            <v>68092</v>
          </cell>
        </row>
        <row r="483">
          <cell r="A483" t="str">
            <v>4105100500</v>
          </cell>
          <cell r="M483">
            <v>-6737434</v>
          </cell>
          <cell r="AR483" t="str">
            <v>15690</v>
          </cell>
        </row>
        <row r="484">
          <cell r="A484" t="str">
            <v>4105100500</v>
          </cell>
          <cell r="M484">
            <v>-15624202</v>
          </cell>
          <cell r="AR484" t="str">
            <v>05347</v>
          </cell>
        </row>
        <row r="485">
          <cell r="A485" t="str">
            <v>4105100500</v>
          </cell>
          <cell r="M485">
            <v>17365999</v>
          </cell>
          <cell r="AR485" t="str">
            <v>25754</v>
          </cell>
        </row>
        <row r="486">
          <cell r="A486" t="str">
            <v>4105100500</v>
          </cell>
          <cell r="M486">
            <v>-102119053</v>
          </cell>
          <cell r="AR486" t="str">
            <v>66001</v>
          </cell>
        </row>
        <row r="487">
          <cell r="A487" t="str">
            <v>4105100500</v>
          </cell>
          <cell r="M487">
            <v>30310849</v>
          </cell>
          <cell r="AR487" t="str">
            <v>20250</v>
          </cell>
        </row>
        <row r="488">
          <cell r="A488" t="str">
            <v>4105100500</v>
          </cell>
          <cell r="M488">
            <v>92361856</v>
          </cell>
          <cell r="AR488" t="str">
            <v>44035</v>
          </cell>
        </row>
        <row r="489">
          <cell r="A489" t="str">
            <v>4105100500</v>
          </cell>
          <cell r="M489">
            <v>92361856</v>
          </cell>
          <cell r="AR489" t="str">
            <v>44847</v>
          </cell>
        </row>
        <row r="490">
          <cell r="A490" t="str">
            <v>4105100500</v>
          </cell>
          <cell r="M490">
            <v>-70537504</v>
          </cell>
          <cell r="AR490" t="str">
            <v>76892</v>
          </cell>
        </row>
        <row r="491">
          <cell r="A491" t="str">
            <v>4105100500</v>
          </cell>
          <cell r="M491">
            <v>69434283</v>
          </cell>
          <cell r="AR491" t="str">
            <v>25736</v>
          </cell>
        </row>
        <row r="492">
          <cell r="A492" t="str">
            <v>4105100500</v>
          </cell>
          <cell r="M492">
            <v>-101390919</v>
          </cell>
          <cell r="AR492" t="str">
            <v>66001</v>
          </cell>
        </row>
        <row r="493">
          <cell r="A493" t="str">
            <v>4105100500</v>
          </cell>
          <cell r="M493">
            <v>13728638</v>
          </cell>
          <cell r="AR493" t="str">
            <v>15667</v>
          </cell>
        </row>
        <row r="494">
          <cell r="A494" t="str">
            <v>4105100500</v>
          </cell>
          <cell r="M494">
            <v>15178513</v>
          </cell>
          <cell r="AR494" t="str">
            <v>47001</v>
          </cell>
        </row>
        <row r="495">
          <cell r="A495" t="str">
            <v>4105100600</v>
          </cell>
          <cell r="M495">
            <v>-298548620</v>
          </cell>
          <cell r="AR495" t="str">
            <v>47189</v>
          </cell>
        </row>
        <row r="496">
          <cell r="A496" t="str">
            <v>4105100600</v>
          </cell>
          <cell r="M496">
            <v>298564507</v>
          </cell>
          <cell r="AR496" t="str">
            <v>47189</v>
          </cell>
        </row>
        <row r="497">
          <cell r="A497" t="str">
            <v>4105100600</v>
          </cell>
          <cell r="M497">
            <v>-298816952</v>
          </cell>
          <cell r="AR497" t="str">
            <v>47189</v>
          </cell>
        </row>
        <row r="498">
          <cell r="A498" t="str">
            <v>4105101100</v>
          </cell>
          <cell r="M498">
            <v>-4952772</v>
          </cell>
          <cell r="AR498" t="str">
            <v>11001</v>
          </cell>
        </row>
        <row r="499">
          <cell r="A499" t="str">
            <v>4105101300</v>
          </cell>
          <cell r="M499">
            <v>30783436644</v>
          </cell>
          <cell r="AR499" t="str">
            <v>11001</v>
          </cell>
        </row>
        <row r="500">
          <cell r="A500" t="str">
            <v>4105101300</v>
          </cell>
          <cell r="M500">
            <v>-31519983012</v>
          </cell>
          <cell r="AR500" t="str">
            <v>11001</v>
          </cell>
        </row>
        <row r="501">
          <cell r="A501" t="str">
            <v>4105101300</v>
          </cell>
          <cell r="M501">
            <v>-30788902104</v>
          </cell>
          <cell r="AR501" t="str">
            <v>11001</v>
          </cell>
        </row>
        <row r="502">
          <cell r="A502" t="str">
            <v>4105101300</v>
          </cell>
          <cell r="M502">
            <v>-30672785766</v>
          </cell>
          <cell r="AR502" t="str">
            <v>11001</v>
          </cell>
        </row>
        <row r="503">
          <cell r="A503" t="str">
            <v>4105101300</v>
          </cell>
          <cell r="M503">
            <v>30788902104</v>
          </cell>
          <cell r="AR503" t="str">
            <v>11001</v>
          </cell>
        </row>
        <row r="504">
          <cell r="A504" t="str">
            <v>4105101300</v>
          </cell>
          <cell r="M504">
            <v>30924165969</v>
          </cell>
          <cell r="AR504" t="str">
            <v>11001</v>
          </cell>
        </row>
        <row r="505">
          <cell r="A505" t="str">
            <v>4105101300</v>
          </cell>
          <cell r="M505">
            <v>-30884034233</v>
          </cell>
          <cell r="AR505" t="str">
            <v>11001</v>
          </cell>
        </row>
        <row r="506">
          <cell r="A506" t="str">
            <v>4105250000</v>
          </cell>
          <cell r="M506">
            <v>-12098333</v>
          </cell>
          <cell r="AR506" t="str">
            <v>11001</v>
          </cell>
        </row>
        <row r="507">
          <cell r="A507" t="str">
            <v>4105801200</v>
          </cell>
          <cell r="M507">
            <v>-1786574223</v>
          </cell>
          <cell r="AR507" t="str">
            <v>50150</v>
          </cell>
        </row>
        <row r="508">
          <cell r="A508" t="str">
            <v>4105801200</v>
          </cell>
          <cell r="M508">
            <v>-16676320</v>
          </cell>
          <cell r="AR508" t="str">
            <v>20250</v>
          </cell>
        </row>
        <row r="509">
          <cell r="A509" t="str">
            <v>4105801200</v>
          </cell>
          <cell r="M509">
            <v>17000000</v>
          </cell>
          <cell r="AR509" t="str">
            <v>41885</v>
          </cell>
        </row>
        <row r="510">
          <cell r="A510" t="str">
            <v>4105801200</v>
          </cell>
          <cell r="M510">
            <v>-269021517</v>
          </cell>
          <cell r="AR510" t="str">
            <v>20250</v>
          </cell>
        </row>
        <row r="511">
          <cell r="A511" t="str">
            <v>4105801200</v>
          </cell>
          <cell r="M511">
            <v>-87489545</v>
          </cell>
          <cell r="AR511" t="str">
            <v>47189</v>
          </cell>
        </row>
        <row r="512">
          <cell r="A512" t="str">
            <v>4105801200</v>
          </cell>
          <cell r="M512">
            <v>87032188</v>
          </cell>
          <cell r="AR512" t="str">
            <v>47189</v>
          </cell>
        </row>
        <row r="513">
          <cell r="A513" t="str">
            <v>4105801200</v>
          </cell>
          <cell r="M513">
            <v>-1759490068</v>
          </cell>
          <cell r="AR513" t="str">
            <v>50150</v>
          </cell>
        </row>
        <row r="514">
          <cell r="A514" t="str">
            <v>4105801200</v>
          </cell>
          <cell r="M514">
            <v>-89198544</v>
          </cell>
          <cell r="AR514" t="str">
            <v>47189</v>
          </cell>
        </row>
        <row r="515">
          <cell r="A515" t="str">
            <v>4105801200</v>
          </cell>
          <cell r="M515">
            <v>-1743726338</v>
          </cell>
          <cell r="AR515" t="str">
            <v>50150</v>
          </cell>
        </row>
        <row r="516">
          <cell r="A516" t="str">
            <v>4105801200</v>
          </cell>
          <cell r="M516">
            <v>-82637432</v>
          </cell>
          <cell r="AR516" t="str">
            <v>47189</v>
          </cell>
        </row>
        <row r="517">
          <cell r="A517" t="str">
            <v>4105801200</v>
          </cell>
          <cell r="M517">
            <v>-178722162</v>
          </cell>
          <cell r="AR517" t="str">
            <v>20250</v>
          </cell>
        </row>
        <row r="518">
          <cell r="A518" t="str">
            <v>4105801200</v>
          </cell>
          <cell r="M518">
            <v>-17000000</v>
          </cell>
          <cell r="AR518" t="str">
            <v>41885</v>
          </cell>
        </row>
        <row r="519">
          <cell r="A519" t="str">
            <v>4105801200</v>
          </cell>
          <cell r="M519">
            <v>-1791803417</v>
          </cell>
          <cell r="AR519" t="str">
            <v>50150</v>
          </cell>
        </row>
        <row r="520">
          <cell r="A520" t="str">
            <v>4105801200</v>
          </cell>
          <cell r="M520">
            <v>1789691627</v>
          </cell>
          <cell r="AR520" t="str">
            <v>50150</v>
          </cell>
        </row>
        <row r="521">
          <cell r="A521" t="str">
            <v>4105801200</v>
          </cell>
          <cell r="M521">
            <v>-267892123</v>
          </cell>
          <cell r="AR521" t="str">
            <v>20250</v>
          </cell>
        </row>
        <row r="522">
          <cell r="A522" t="str">
            <v>4105801200</v>
          </cell>
          <cell r="M522">
            <v>1759490068</v>
          </cell>
          <cell r="AR522" t="str">
            <v>50150</v>
          </cell>
        </row>
        <row r="523">
          <cell r="A523" t="str">
            <v>4105801200</v>
          </cell>
          <cell r="M523">
            <v>267892124</v>
          </cell>
          <cell r="AR523" t="str">
            <v>20250</v>
          </cell>
        </row>
        <row r="524">
          <cell r="A524" t="str">
            <v>4105801200</v>
          </cell>
          <cell r="M524">
            <v>1743726338</v>
          </cell>
          <cell r="AR524" t="str">
            <v>50150</v>
          </cell>
        </row>
        <row r="525">
          <cell r="A525" t="str">
            <v>4105801200</v>
          </cell>
          <cell r="M525">
            <v>-1786272539</v>
          </cell>
          <cell r="AR525" t="str">
            <v>50150</v>
          </cell>
        </row>
        <row r="526">
          <cell r="A526" t="str">
            <v>4105801200</v>
          </cell>
          <cell r="M526">
            <v>1786272539</v>
          </cell>
          <cell r="AR526" t="str">
            <v>50150</v>
          </cell>
        </row>
        <row r="527">
          <cell r="A527" t="str">
            <v>4105801200</v>
          </cell>
          <cell r="M527">
            <v>-17000000</v>
          </cell>
          <cell r="AR527" t="str">
            <v>41885</v>
          </cell>
        </row>
        <row r="528">
          <cell r="A528" t="str">
            <v>4215050200</v>
          </cell>
          <cell r="M528">
            <v>-156403</v>
          </cell>
          <cell r="AR528" t="str">
            <v>11001</v>
          </cell>
        </row>
        <row r="529">
          <cell r="A529" t="str">
            <v>4215050200</v>
          </cell>
          <cell r="M529">
            <v>-138490</v>
          </cell>
          <cell r="AR529" t="str">
            <v>11001</v>
          </cell>
        </row>
        <row r="530">
          <cell r="A530" t="str">
            <v>4215050200</v>
          </cell>
          <cell r="M530">
            <v>-155232</v>
          </cell>
          <cell r="AR530" t="str">
            <v>11001</v>
          </cell>
        </row>
        <row r="531">
          <cell r="A531" t="str">
            <v>4215050200</v>
          </cell>
          <cell r="M531">
            <v>-96842</v>
          </cell>
          <cell r="AR531" t="str">
            <v>11001</v>
          </cell>
        </row>
        <row r="532">
          <cell r="A532" t="str">
            <v>4215050200</v>
          </cell>
          <cell r="M532">
            <v>-61667</v>
          </cell>
          <cell r="AR532" t="str">
            <v>11001</v>
          </cell>
        </row>
        <row r="533">
          <cell r="A533" t="str">
            <v>4215050200</v>
          </cell>
          <cell r="M533">
            <v>-19411</v>
          </cell>
          <cell r="AR533" t="str">
            <v>11001</v>
          </cell>
        </row>
        <row r="534">
          <cell r="A534" t="str">
            <v>4215050200</v>
          </cell>
          <cell r="M534">
            <v>-32638</v>
          </cell>
          <cell r="AR534" t="str">
            <v>11001</v>
          </cell>
        </row>
        <row r="535">
          <cell r="A535" t="str">
            <v>4215050200</v>
          </cell>
          <cell r="M535">
            <v>26729108</v>
          </cell>
          <cell r="AR535" t="str">
            <v>11001</v>
          </cell>
        </row>
        <row r="536">
          <cell r="A536" t="str">
            <v>4215050200</v>
          </cell>
          <cell r="M536">
            <v>-445782</v>
          </cell>
          <cell r="AR536" t="str">
            <v>11001</v>
          </cell>
        </row>
        <row r="537">
          <cell r="A537" t="str">
            <v>4215050200</v>
          </cell>
          <cell r="M537">
            <v>-251131</v>
          </cell>
          <cell r="AR537" t="str">
            <v>11001</v>
          </cell>
        </row>
        <row r="538">
          <cell r="A538" t="str">
            <v>4215050200</v>
          </cell>
          <cell r="M538">
            <v>-119773</v>
          </cell>
          <cell r="AR538" t="str">
            <v>11001</v>
          </cell>
        </row>
        <row r="539">
          <cell r="A539" t="str">
            <v>4215050200</v>
          </cell>
          <cell r="M539">
            <v>-33374</v>
          </cell>
          <cell r="AR539" t="str">
            <v>11001</v>
          </cell>
        </row>
        <row r="540">
          <cell r="A540" t="str">
            <v>4215050200</v>
          </cell>
          <cell r="M540">
            <v>-241970</v>
          </cell>
          <cell r="AR540" t="str">
            <v>11001</v>
          </cell>
        </row>
        <row r="541">
          <cell r="A541" t="str">
            <v>4215050200</v>
          </cell>
          <cell r="M541">
            <v>-147076</v>
          </cell>
          <cell r="AR541" t="str">
            <v>11001</v>
          </cell>
        </row>
        <row r="542">
          <cell r="A542" t="str">
            <v>4215050200</v>
          </cell>
          <cell r="M542">
            <v>-703733</v>
          </cell>
          <cell r="AR542" t="str">
            <v>11001</v>
          </cell>
        </row>
        <row r="543">
          <cell r="A543" t="str">
            <v>4215050200</v>
          </cell>
          <cell r="M543">
            <v>-161875</v>
          </cell>
          <cell r="AR543" t="str">
            <v>11001</v>
          </cell>
        </row>
        <row r="544">
          <cell r="A544" t="str">
            <v>4215050200</v>
          </cell>
          <cell r="M544">
            <v>-99614</v>
          </cell>
          <cell r="AR544" t="str">
            <v>11001</v>
          </cell>
        </row>
        <row r="545">
          <cell r="A545" t="str">
            <v>4215050200</v>
          </cell>
          <cell r="M545">
            <v>-107863</v>
          </cell>
          <cell r="AR545" t="str">
            <v>11001</v>
          </cell>
        </row>
        <row r="546">
          <cell r="A546" t="str">
            <v>4215050200</v>
          </cell>
          <cell r="M546">
            <v>-32984</v>
          </cell>
          <cell r="AR546" t="str">
            <v>11001</v>
          </cell>
        </row>
        <row r="547">
          <cell r="A547" t="str">
            <v>4215050200</v>
          </cell>
          <cell r="M547">
            <v>-255642</v>
          </cell>
          <cell r="AR547" t="str">
            <v>11001</v>
          </cell>
        </row>
        <row r="548">
          <cell r="A548" t="str">
            <v>4215050200</v>
          </cell>
          <cell r="M548">
            <v>-244562</v>
          </cell>
          <cell r="AR548" t="str">
            <v>11001</v>
          </cell>
        </row>
        <row r="549">
          <cell r="A549" t="str">
            <v>4215050200</v>
          </cell>
          <cell r="M549">
            <v>-114530</v>
          </cell>
          <cell r="AR549" t="str">
            <v>11001</v>
          </cell>
        </row>
        <row r="550">
          <cell r="A550" t="str">
            <v>4215050200</v>
          </cell>
          <cell r="M550">
            <v>-165650</v>
          </cell>
          <cell r="AR550" t="str">
            <v>11001</v>
          </cell>
        </row>
        <row r="551">
          <cell r="A551" t="str">
            <v>4215050200</v>
          </cell>
          <cell r="M551">
            <v>-214137</v>
          </cell>
          <cell r="AR551" t="str">
            <v>11001</v>
          </cell>
        </row>
        <row r="552">
          <cell r="A552" t="str">
            <v>4215050200</v>
          </cell>
          <cell r="M552">
            <v>-27808</v>
          </cell>
          <cell r="AR552" t="str">
            <v>11001</v>
          </cell>
        </row>
        <row r="553">
          <cell r="A553" t="str">
            <v>4215050200</v>
          </cell>
          <cell r="M553">
            <v>-61661</v>
          </cell>
          <cell r="AR553" t="str">
            <v>11001</v>
          </cell>
        </row>
        <row r="554">
          <cell r="A554" t="str">
            <v>4215050200</v>
          </cell>
          <cell r="M554">
            <v>-64093</v>
          </cell>
          <cell r="AR554" t="str">
            <v>11001</v>
          </cell>
        </row>
        <row r="555">
          <cell r="A555" t="str">
            <v>4215050200</v>
          </cell>
          <cell r="M555">
            <v>-121387</v>
          </cell>
          <cell r="AR555" t="str">
            <v>11001</v>
          </cell>
        </row>
        <row r="556">
          <cell r="A556" t="str">
            <v>4215050200</v>
          </cell>
          <cell r="M556">
            <v>-5302735</v>
          </cell>
          <cell r="AR556" t="str">
            <v>11001</v>
          </cell>
        </row>
        <row r="557">
          <cell r="A557" t="str">
            <v>4215050200</v>
          </cell>
          <cell r="M557">
            <v>-566155</v>
          </cell>
          <cell r="AR557" t="str">
            <v>11001</v>
          </cell>
        </row>
        <row r="558">
          <cell r="A558" t="str">
            <v>4215050200</v>
          </cell>
          <cell r="M558">
            <v>-169154</v>
          </cell>
          <cell r="AR558" t="str">
            <v>11001</v>
          </cell>
        </row>
        <row r="559">
          <cell r="A559" t="str">
            <v>4215050200</v>
          </cell>
          <cell r="M559">
            <v>-70527</v>
          </cell>
          <cell r="AR559" t="str">
            <v>11001</v>
          </cell>
        </row>
        <row r="560">
          <cell r="A560" t="str">
            <v>4215050200</v>
          </cell>
          <cell r="M560">
            <v>-173502</v>
          </cell>
          <cell r="AR560" t="str">
            <v>11001</v>
          </cell>
        </row>
        <row r="561">
          <cell r="A561" t="str">
            <v>4215050200</v>
          </cell>
          <cell r="M561">
            <v>-186550</v>
          </cell>
          <cell r="AR561" t="str">
            <v>11001</v>
          </cell>
        </row>
        <row r="562">
          <cell r="A562" t="str">
            <v>4215050200</v>
          </cell>
          <cell r="M562">
            <v>-180276</v>
          </cell>
          <cell r="AR562" t="str">
            <v>11001</v>
          </cell>
        </row>
        <row r="563">
          <cell r="A563" t="str">
            <v>4215050200</v>
          </cell>
          <cell r="M563">
            <v>-143968</v>
          </cell>
          <cell r="AR563" t="str">
            <v>11001</v>
          </cell>
        </row>
        <row r="564">
          <cell r="A564" t="str">
            <v>4215050200</v>
          </cell>
          <cell r="M564">
            <v>-438718</v>
          </cell>
          <cell r="AR564" t="str">
            <v>11001</v>
          </cell>
        </row>
        <row r="565">
          <cell r="A565" t="str">
            <v>4215050200</v>
          </cell>
          <cell r="M565">
            <v>-175685</v>
          </cell>
          <cell r="AR565" t="str">
            <v>11001</v>
          </cell>
        </row>
        <row r="566">
          <cell r="A566" t="str">
            <v>4215050200</v>
          </cell>
          <cell r="M566">
            <v>-171052</v>
          </cell>
          <cell r="AR566" t="str">
            <v>11001</v>
          </cell>
        </row>
        <row r="567">
          <cell r="A567" t="str">
            <v>4215050200</v>
          </cell>
          <cell r="M567">
            <v>-83126</v>
          </cell>
          <cell r="AR567" t="str">
            <v>11001</v>
          </cell>
        </row>
        <row r="568">
          <cell r="A568" t="str">
            <v>4215050200</v>
          </cell>
          <cell r="M568">
            <v>-41485</v>
          </cell>
          <cell r="AR568" t="str">
            <v>11001</v>
          </cell>
        </row>
        <row r="569">
          <cell r="A569" t="str">
            <v>4215050200</v>
          </cell>
          <cell r="M569">
            <v>-402864</v>
          </cell>
          <cell r="AR569" t="str">
            <v>11001</v>
          </cell>
        </row>
        <row r="570">
          <cell r="A570" t="str">
            <v>4215050200</v>
          </cell>
          <cell r="M570">
            <v>-78081</v>
          </cell>
          <cell r="AR570" t="str">
            <v>11001</v>
          </cell>
        </row>
        <row r="571">
          <cell r="A571" t="str">
            <v>4215050200</v>
          </cell>
          <cell r="M571">
            <v>-73926</v>
          </cell>
          <cell r="AR571" t="str">
            <v>11001</v>
          </cell>
        </row>
        <row r="572">
          <cell r="A572" t="str">
            <v>4215050200</v>
          </cell>
          <cell r="M572">
            <v>-36362</v>
          </cell>
          <cell r="AR572" t="str">
            <v>11001</v>
          </cell>
        </row>
        <row r="573">
          <cell r="A573" t="str">
            <v>4215050200</v>
          </cell>
          <cell r="M573">
            <v>-182337</v>
          </cell>
          <cell r="AR573" t="str">
            <v>11001</v>
          </cell>
        </row>
        <row r="574">
          <cell r="A574" t="str">
            <v>4215050200</v>
          </cell>
          <cell r="M574">
            <v>-135949</v>
          </cell>
          <cell r="AR574" t="str">
            <v>11001</v>
          </cell>
        </row>
        <row r="575">
          <cell r="A575" t="str">
            <v>4215050200</v>
          </cell>
          <cell r="M575">
            <v>-63053</v>
          </cell>
          <cell r="AR575" t="str">
            <v>11001</v>
          </cell>
        </row>
        <row r="576">
          <cell r="A576" t="str">
            <v>4215050200</v>
          </cell>
          <cell r="M576">
            <v>-119053</v>
          </cell>
          <cell r="AR576" t="str">
            <v>11001</v>
          </cell>
        </row>
        <row r="577">
          <cell r="A577" t="str">
            <v>4215050200</v>
          </cell>
          <cell r="M577">
            <v>-62915</v>
          </cell>
          <cell r="AR577" t="str">
            <v>11001</v>
          </cell>
        </row>
        <row r="578">
          <cell r="A578" t="str">
            <v>4215050200</v>
          </cell>
          <cell r="M578">
            <v>-204141</v>
          </cell>
          <cell r="AR578" t="str">
            <v>11001</v>
          </cell>
        </row>
        <row r="579">
          <cell r="A579" t="str">
            <v>4215050200</v>
          </cell>
          <cell r="M579">
            <v>-104454</v>
          </cell>
          <cell r="AR579" t="str">
            <v>11001</v>
          </cell>
        </row>
        <row r="580">
          <cell r="A580" t="str">
            <v>4215050200</v>
          </cell>
          <cell r="M580">
            <v>-116958</v>
          </cell>
          <cell r="AR580" t="str">
            <v>11001</v>
          </cell>
        </row>
        <row r="581">
          <cell r="A581" t="str">
            <v>4215050200</v>
          </cell>
          <cell r="M581">
            <v>-100124</v>
          </cell>
          <cell r="AR581" t="str">
            <v>11001</v>
          </cell>
        </row>
        <row r="582">
          <cell r="A582" t="str">
            <v>4215050200</v>
          </cell>
          <cell r="M582">
            <v>-149312</v>
          </cell>
          <cell r="AR582" t="str">
            <v>11001</v>
          </cell>
        </row>
        <row r="583">
          <cell r="A583" t="str">
            <v>4215050200</v>
          </cell>
          <cell r="M583">
            <v>-71500</v>
          </cell>
          <cell r="AR583" t="str">
            <v>11001</v>
          </cell>
        </row>
        <row r="584">
          <cell r="A584" t="str">
            <v>4215050200</v>
          </cell>
          <cell r="M584">
            <v>-155747</v>
          </cell>
          <cell r="AR584" t="str">
            <v>11001</v>
          </cell>
        </row>
        <row r="585">
          <cell r="A585" t="str">
            <v>4215050200</v>
          </cell>
          <cell r="M585">
            <v>-197972</v>
          </cell>
          <cell r="AR585" t="str">
            <v>11001</v>
          </cell>
        </row>
        <row r="586">
          <cell r="A586" t="str">
            <v>4215050200</v>
          </cell>
          <cell r="M586">
            <v>-105278</v>
          </cell>
          <cell r="AR586" t="str">
            <v>11001</v>
          </cell>
        </row>
        <row r="587">
          <cell r="A587" t="str">
            <v>4215050200</v>
          </cell>
          <cell r="M587">
            <v>-171362</v>
          </cell>
          <cell r="AR587" t="str">
            <v>11001</v>
          </cell>
        </row>
        <row r="588">
          <cell r="A588" t="str">
            <v>4215050200</v>
          </cell>
          <cell r="M588">
            <v>-123135</v>
          </cell>
          <cell r="AR588" t="str">
            <v>11001</v>
          </cell>
        </row>
        <row r="589">
          <cell r="A589" t="str">
            <v>4215050200</v>
          </cell>
          <cell r="M589">
            <v>-95273</v>
          </cell>
          <cell r="AR589" t="str">
            <v>11001</v>
          </cell>
        </row>
        <row r="590">
          <cell r="A590" t="str">
            <v>4215050200</v>
          </cell>
          <cell r="M590">
            <v>-84336</v>
          </cell>
          <cell r="AR590" t="str">
            <v>11001</v>
          </cell>
        </row>
        <row r="591">
          <cell r="A591" t="str">
            <v>4215050200</v>
          </cell>
          <cell r="M591">
            <v>-105181643</v>
          </cell>
          <cell r="AR591" t="str">
            <v>11001</v>
          </cell>
        </row>
        <row r="592">
          <cell r="A592" t="str">
            <v>4215050200</v>
          </cell>
          <cell r="M592">
            <v>-197690</v>
          </cell>
          <cell r="AR592" t="str">
            <v>11001</v>
          </cell>
        </row>
        <row r="593">
          <cell r="A593" t="str">
            <v>4215050200</v>
          </cell>
          <cell r="M593">
            <v>-486302</v>
          </cell>
          <cell r="AR593" t="str">
            <v>11001</v>
          </cell>
        </row>
        <row r="594">
          <cell r="A594" t="str">
            <v>4215050200</v>
          </cell>
          <cell r="M594">
            <v>-54531</v>
          </cell>
          <cell r="AR594" t="str">
            <v>11001</v>
          </cell>
        </row>
        <row r="595">
          <cell r="A595" t="str">
            <v>4215050200</v>
          </cell>
          <cell r="M595">
            <v>-337109</v>
          </cell>
          <cell r="AR595" t="str">
            <v>11001</v>
          </cell>
        </row>
        <row r="596">
          <cell r="A596" t="str">
            <v>4215050200</v>
          </cell>
          <cell r="M596">
            <v>-199686</v>
          </cell>
          <cell r="AR596" t="str">
            <v>11001</v>
          </cell>
        </row>
        <row r="597">
          <cell r="A597" t="str">
            <v>4215050200</v>
          </cell>
          <cell r="M597">
            <v>-25738</v>
          </cell>
          <cell r="AR597" t="str">
            <v>11001</v>
          </cell>
        </row>
        <row r="598">
          <cell r="A598" t="str">
            <v>4215050200</v>
          </cell>
          <cell r="M598">
            <v>-75394</v>
          </cell>
          <cell r="AR598" t="str">
            <v>11001</v>
          </cell>
        </row>
        <row r="599">
          <cell r="A599" t="str">
            <v>4215050200</v>
          </cell>
          <cell r="M599">
            <v>-40187</v>
          </cell>
          <cell r="AR599" t="str">
            <v>11001</v>
          </cell>
        </row>
        <row r="600">
          <cell r="A600" t="str">
            <v>4215050200</v>
          </cell>
          <cell r="M600">
            <v>-135736</v>
          </cell>
          <cell r="AR600" t="str">
            <v>11001</v>
          </cell>
        </row>
        <row r="601">
          <cell r="A601" t="str">
            <v>4215050200</v>
          </cell>
          <cell r="M601">
            <v>-105176</v>
          </cell>
          <cell r="AR601" t="str">
            <v>11001</v>
          </cell>
        </row>
        <row r="602">
          <cell r="A602" t="str">
            <v>4215050200</v>
          </cell>
          <cell r="M602">
            <v>-95301</v>
          </cell>
          <cell r="AR602" t="str">
            <v>11001</v>
          </cell>
        </row>
        <row r="603">
          <cell r="A603" t="str">
            <v>4215050200</v>
          </cell>
          <cell r="M603">
            <v>-206290</v>
          </cell>
          <cell r="AR603" t="str">
            <v>11001</v>
          </cell>
        </row>
        <row r="604">
          <cell r="A604" t="str">
            <v>4215050200</v>
          </cell>
          <cell r="M604">
            <v>-71996</v>
          </cell>
          <cell r="AR604" t="str">
            <v>11001</v>
          </cell>
        </row>
        <row r="605">
          <cell r="A605" t="str">
            <v>4215050200</v>
          </cell>
          <cell r="M605">
            <v>-99475</v>
          </cell>
          <cell r="AR605" t="str">
            <v>11001</v>
          </cell>
        </row>
        <row r="606">
          <cell r="A606" t="str">
            <v>4215050200</v>
          </cell>
          <cell r="M606">
            <v>-36677</v>
          </cell>
          <cell r="AR606" t="str">
            <v>11001</v>
          </cell>
        </row>
        <row r="607">
          <cell r="A607" t="str">
            <v>4215050200</v>
          </cell>
          <cell r="M607">
            <v>-10441</v>
          </cell>
          <cell r="AR607" t="str">
            <v>11001</v>
          </cell>
        </row>
        <row r="608">
          <cell r="A608" t="str">
            <v>4215050200</v>
          </cell>
          <cell r="M608">
            <v>-184481</v>
          </cell>
          <cell r="AR608" t="str">
            <v>11001</v>
          </cell>
        </row>
        <row r="609">
          <cell r="A609" t="str">
            <v>4215050200</v>
          </cell>
          <cell r="M609">
            <v>-132782</v>
          </cell>
          <cell r="AR609" t="str">
            <v>11001</v>
          </cell>
        </row>
        <row r="610">
          <cell r="A610" t="str">
            <v>4215050200</v>
          </cell>
          <cell r="M610">
            <v>-130660</v>
          </cell>
          <cell r="AR610" t="str">
            <v>11001</v>
          </cell>
        </row>
        <row r="611">
          <cell r="A611" t="str">
            <v>4215050200</v>
          </cell>
          <cell r="M611">
            <v>-31592</v>
          </cell>
          <cell r="AR611" t="str">
            <v>11001</v>
          </cell>
        </row>
        <row r="612">
          <cell r="A612" t="str">
            <v>4215050200</v>
          </cell>
          <cell r="M612">
            <v>-164059</v>
          </cell>
          <cell r="AR612" t="str">
            <v>11001</v>
          </cell>
        </row>
        <row r="613">
          <cell r="A613" t="str">
            <v>4215050200</v>
          </cell>
          <cell r="M613">
            <v>-20434</v>
          </cell>
          <cell r="AR613" t="str">
            <v>11001</v>
          </cell>
        </row>
        <row r="614">
          <cell r="A614" t="str">
            <v>4215050200</v>
          </cell>
          <cell r="M614">
            <v>-114689</v>
          </cell>
          <cell r="AR614" t="str">
            <v>11001</v>
          </cell>
        </row>
        <row r="615">
          <cell r="A615" t="str">
            <v>4215050200</v>
          </cell>
          <cell r="M615">
            <v>-71770</v>
          </cell>
          <cell r="AR615" t="str">
            <v>11001</v>
          </cell>
        </row>
        <row r="616">
          <cell r="A616" t="str">
            <v>4215050200</v>
          </cell>
          <cell r="M616">
            <v>-46000</v>
          </cell>
          <cell r="AR616" t="str">
            <v>11001</v>
          </cell>
        </row>
        <row r="617">
          <cell r="A617" t="str">
            <v>4215050200</v>
          </cell>
          <cell r="M617">
            <v>-57012</v>
          </cell>
          <cell r="AR617" t="str">
            <v>11001</v>
          </cell>
        </row>
        <row r="618">
          <cell r="A618" t="str">
            <v>4215050200</v>
          </cell>
          <cell r="M618">
            <v>-173401</v>
          </cell>
          <cell r="AR618" t="str">
            <v>11001</v>
          </cell>
        </row>
        <row r="619">
          <cell r="A619" t="str">
            <v>4215050200</v>
          </cell>
          <cell r="M619">
            <v>-60003</v>
          </cell>
          <cell r="AR619" t="str">
            <v>11001</v>
          </cell>
        </row>
        <row r="620">
          <cell r="A620" t="str">
            <v>4215050200</v>
          </cell>
          <cell r="M620">
            <v>-170002</v>
          </cell>
          <cell r="AR620" t="str">
            <v>11001</v>
          </cell>
        </row>
        <row r="621">
          <cell r="A621" t="str">
            <v>4215050200</v>
          </cell>
          <cell r="M621">
            <v>-126902</v>
          </cell>
          <cell r="AR621" t="str">
            <v>11001</v>
          </cell>
        </row>
        <row r="622">
          <cell r="A622" t="str">
            <v>4215050200</v>
          </cell>
          <cell r="M622">
            <v>-212270</v>
          </cell>
          <cell r="AR622" t="str">
            <v>11001</v>
          </cell>
        </row>
        <row r="623">
          <cell r="A623" t="str">
            <v>4215050200</v>
          </cell>
          <cell r="M623">
            <v>-69483</v>
          </cell>
          <cell r="AR623" t="str">
            <v>11001</v>
          </cell>
        </row>
        <row r="624">
          <cell r="A624" t="str">
            <v>4215050200</v>
          </cell>
          <cell r="M624">
            <v>-83248</v>
          </cell>
          <cell r="AR624" t="str">
            <v>11001</v>
          </cell>
        </row>
        <row r="625">
          <cell r="A625" t="str">
            <v>4215050200</v>
          </cell>
          <cell r="M625">
            <v>-144356</v>
          </cell>
          <cell r="AR625" t="str">
            <v>11001</v>
          </cell>
        </row>
        <row r="626">
          <cell r="A626" t="str">
            <v>4215050200</v>
          </cell>
          <cell r="M626">
            <v>-39163</v>
          </cell>
          <cell r="AR626" t="str">
            <v>11001</v>
          </cell>
        </row>
        <row r="627">
          <cell r="A627" t="str">
            <v>4215050200</v>
          </cell>
          <cell r="M627">
            <v>-83917</v>
          </cell>
          <cell r="AR627" t="str">
            <v>11001</v>
          </cell>
        </row>
        <row r="628">
          <cell r="A628" t="str">
            <v>4215050200</v>
          </cell>
          <cell r="M628">
            <v>-252130</v>
          </cell>
          <cell r="AR628" t="str">
            <v>11001</v>
          </cell>
        </row>
        <row r="629">
          <cell r="A629" t="str">
            <v>4215050200</v>
          </cell>
          <cell r="M629">
            <v>-200183</v>
          </cell>
          <cell r="AR629" t="str">
            <v>11001</v>
          </cell>
        </row>
        <row r="630">
          <cell r="A630" t="str">
            <v>4215050200</v>
          </cell>
          <cell r="M630">
            <v>-119124</v>
          </cell>
          <cell r="AR630" t="str">
            <v>11001</v>
          </cell>
        </row>
        <row r="631">
          <cell r="A631" t="str">
            <v>4215050200</v>
          </cell>
          <cell r="M631">
            <v>-401388</v>
          </cell>
          <cell r="AR631" t="str">
            <v>11001</v>
          </cell>
        </row>
        <row r="632">
          <cell r="A632" t="str">
            <v>4215050200</v>
          </cell>
          <cell r="M632">
            <v>-290203</v>
          </cell>
          <cell r="AR632" t="str">
            <v>11001</v>
          </cell>
        </row>
        <row r="633">
          <cell r="A633" t="str">
            <v>4215050200</v>
          </cell>
          <cell r="M633">
            <v>-113348</v>
          </cell>
          <cell r="AR633" t="str">
            <v>11001</v>
          </cell>
        </row>
        <row r="634">
          <cell r="A634" t="str">
            <v>4220050100</v>
          </cell>
          <cell r="M634">
            <v>-98695503</v>
          </cell>
          <cell r="AR634" t="str">
            <v>11001</v>
          </cell>
        </row>
        <row r="635">
          <cell r="A635" t="str">
            <v>4220050100</v>
          </cell>
          <cell r="M635">
            <v>-965903</v>
          </cell>
          <cell r="AR635" t="str">
            <v>11001</v>
          </cell>
        </row>
        <row r="636">
          <cell r="A636" t="str">
            <v>4220050100</v>
          </cell>
          <cell r="M636">
            <v>-791340553</v>
          </cell>
          <cell r="AR636" t="str">
            <v>11001</v>
          </cell>
        </row>
        <row r="637">
          <cell r="A637" t="str">
            <v>4220050100</v>
          </cell>
          <cell r="M637">
            <v>-4277738</v>
          </cell>
          <cell r="AR637" t="str">
            <v>11001</v>
          </cell>
        </row>
        <row r="638">
          <cell r="A638" t="str">
            <v>4225050100</v>
          </cell>
          <cell r="M638">
            <v>-1067646</v>
          </cell>
          <cell r="AR638" t="str">
            <v>11001</v>
          </cell>
        </row>
        <row r="639">
          <cell r="A639" t="str">
            <v>4225050200</v>
          </cell>
          <cell r="M639">
            <v>120150</v>
          </cell>
          <cell r="AR639" t="str">
            <v>11001</v>
          </cell>
        </row>
        <row r="640">
          <cell r="A640" t="str">
            <v>4225050200</v>
          </cell>
          <cell r="M640">
            <v>-5273458</v>
          </cell>
          <cell r="AR640" t="str">
            <v>11001</v>
          </cell>
        </row>
        <row r="641">
          <cell r="A641" t="str">
            <v>4225050200</v>
          </cell>
          <cell r="M641">
            <v>2211969</v>
          </cell>
          <cell r="AR641" t="str">
            <v>11001</v>
          </cell>
        </row>
        <row r="642">
          <cell r="A642" t="str">
            <v>4225050200</v>
          </cell>
          <cell r="M642">
            <v>21527</v>
          </cell>
          <cell r="AR642" t="str">
            <v>11001</v>
          </cell>
        </row>
        <row r="643">
          <cell r="A643" t="str">
            <v>4225050200</v>
          </cell>
          <cell r="M643">
            <v>-114130</v>
          </cell>
          <cell r="AR643" t="str">
            <v>11001</v>
          </cell>
        </row>
        <row r="644">
          <cell r="A644" t="str">
            <v>4225050200</v>
          </cell>
          <cell r="M644">
            <v>5748773</v>
          </cell>
          <cell r="AR644" t="str">
            <v>11001</v>
          </cell>
        </row>
        <row r="645">
          <cell r="A645" t="str">
            <v>4225050200</v>
          </cell>
          <cell r="M645">
            <v>706241</v>
          </cell>
          <cell r="AR645" t="str">
            <v>11001</v>
          </cell>
        </row>
        <row r="646">
          <cell r="A646" t="str">
            <v>4225050200</v>
          </cell>
          <cell r="M646">
            <v>1537150</v>
          </cell>
          <cell r="AR646" t="str">
            <v>11001</v>
          </cell>
        </row>
        <row r="647">
          <cell r="A647" t="str">
            <v>4225050200</v>
          </cell>
          <cell r="M647">
            <v>825295</v>
          </cell>
          <cell r="AR647" t="str">
            <v>11001</v>
          </cell>
        </row>
        <row r="648">
          <cell r="A648" t="str">
            <v>4225050200</v>
          </cell>
          <cell r="M648">
            <v>-2026232</v>
          </cell>
          <cell r="AR648" t="str">
            <v>11001</v>
          </cell>
        </row>
        <row r="649">
          <cell r="A649" t="str">
            <v>4225050200</v>
          </cell>
          <cell r="M649">
            <v>-38699</v>
          </cell>
          <cell r="AR649" t="str">
            <v>11001</v>
          </cell>
        </row>
        <row r="650">
          <cell r="A650" t="str">
            <v>4225050200</v>
          </cell>
          <cell r="M650">
            <v>57065</v>
          </cell>
          <cell r="AR650" t="str">
            <v>11001</v>
          </cell>
        </row>
        <row r="651">
          <cell r="A651" t="str">
            <v>4225050200</v>
          </cell>
          <cell r="M651">
            <v>2462773</v>
          </cell>
          <cell r="AR651" t="str">
            <v>11001</v>
          </cell>
        </row>
        <row r="652">
          <cell r="A652" t="str">
            <v>4225050200</v>
          </cell>
          <cell r="M652">
            <v>-120108</v>
          </cell>
          <cell r="AR652" t="str">
            <v>11001</v>
          </cell>
        </row>
        <row r="653">
          <cell r="A653" t="str">
            <v>4225050200</v>
          </cell>
          <cell r="M653">
            <v>98439</v>
          </cell>
          <cell r="AR653" t="str">
            <v>11001</v>
          </cell>
        </row>
        <row r="654">
          <cell r="A654" t="str">
            <v>4225050200</v>
          </cell>
          <cell r="M654">
            <v>-12145488</v>
          </cell>
          <cell r="AR654" t="str">
            <v>11001</v>
          </cell>
        </row>
        <row r="655">
          <cell r="A655" t="str">
            <v>4225050200</v>
          </cell>
          <cell r="M655">
            <v>-6072744</v>
          </cell>
          <cell r="AR655" t="str">
            <v>11001</v>
          </cell>
        </row>
        <row r="656">
          <cell r="A656" t="str">
            <v>4225050200</v>
          </cell>
          <cell r="M656">
            <v>-1476118</v>
          </cell>
          <cell r="AR656" t="str">
            <v>11001</v>
          </cell>
        </row>
        <row r="657">
          <cell r="A657" t="str">
            <v>4225050200</v>
          </cell>
          <cell r="M657">
            <v>4805716</v>
          </cell>
          <cell r="AR657" t="str">
            <v>11001</v>
          </cell>
        </row>
        <row r="658">
          <cell r="A658" t="str">
            <v>4225050200</v>
          </cell>
          <cell r="M658">
            <v>247232</v>
          </cell>
          <cell r="AR658" t="str">
            <v>11001</v>
          </cell>
        </row>
        <row r="659">
          <cell r="A659" t="str">
            <v>4225050200</v>
          </cell>
          <cell r="M659">
            <v>-1443020</v>
          </cell>
          <cell r="AR659" t="str">
            <v>11001</v>
          </cell>
        </row>
        <row r="660">
          <cell r="A660" t="str">
            <v>4225050200</v>
          </cell>
          <cell r="M660">
            <v>-762650</v>
          </cell>
          <cell r="AR660" t="str">
            <v>11001</v>
          </cell>
        </row>
        <row r="661">
          <cell r="A661" t="str">
            <v>4225050200</v>
          </cell>
          <cell r="M661">
            <v>213899</v>
          </cell>
          <cell r="AR661" t="str">
            <v>11001</v>
          </cell>
        </row>
        <row r="662">
          <cell r="A662" t="str">
            <v>4225050200</v>
          </cell>
          <cell r="M662">
            <v>-1013116</v>
          </cell>
          <cell r="AR662" t="str">
            <v>11001</v>
          </cell>
        </row>
        <row r="663">
          <cell r="A663" t="str">
            <v>4225050200</v>
          </cell>
          <cell r="M663">
            <v>346845</v>
          </cell>
          <cell r="AR663" t="str">
            <v>11001</v>
          </cell>
        </row>
        <row r="664">
          <cell r="A664" t="str">
            <v>4225050200</v>
          </cell>
          <cell r="M664">
            <v>-3452453</v>
          </cell>
          <cell r="AR664" t="str">
            <v>11001</v>
          </cell>
        </row>
        <row r="665">
          <cell r="A665" t="str">
            <v>4225050200</v>
          </cell>
          <cell r="M665">
            <v>-4423938</v>
          </cell>
          <cell r="AR665" t="str">
            <v>11001</v>
          </cell>
        </row>
        <row r="666">
          <cell r="A666" t="str">
            <v>4225050200</v>
          </cell>
          <cell r="M666">
            <v>-20704</v>
          </cell>
          <cell r="AR666" t="str">
            <v>11001</v>
          </cell>
        </row>
        <row r="667">
          <cell r="A667" t="str">
            <v>4225050200</v>
          </cell>
          <cell r="M667">
            <v>-381325</v>
          </cell>
          <cell r="AR667" t="str">
            <v>11001</v>
          </cell>
        </row>
        <row r="668">
          <cell r="A668" t="str">
            <v>4225050200</v>
          </cell>
          <cell r="M668">
            <v>-427798</v>
          </cell>
          <cell r="AR668" t="str">
            <v>11001</v>
          </cell>
        </row>
        <row r="669">
          <cell r="A669" t="str">
            <v>4225050200</v>
          </cell>
          <cell r="M669">
            <v>-71026</v>
          </cell>
          <cell r="AR669" t="str">
            <v>11001</v>
          </cell>
        </row>
        <row r="670">
          <cell r="A670" t="str">
            <v>4225050200</v>
          </cell>
          <cell r="M670">
            <v>857109</v>
          </cell>
          <cell r="AR670" t="str">
            <v>11001</v>
          </cell>
        </row>
        <row r="671">
          <cell r="A671" t="str">
            <v>4225050200</v>
          </cell>
          <cell r="M671">
            <v>71026</v>
          </cell>
          <cell r="AR671" t="str">
            <v>11001</v>
          </cell>
        </row>
        <row r="672">
          <cell r="A672" t="str">
            <v>4225050200</v>
          </cell>
          <cell r="M672">
            <v>-216357</v>
          </cell>
          <cell r="AR672" t="str">
            <v>11001</v>
          </cell>
        </row>
        <row r="673">
          <cell r="A673" t="str">
            <v>4225050200</v>
          </cell>
          <cell r="M673">
            <v>33350</v>
          </cell>
          <cell r="AR673" t="str">
            <v>11001</v>
          </cell>
        </row>
        <row r="674">
          <cell r="A674" t="str">
            <v>4225050200</v>
          </cell>
          <cell r="M674">
            <v>-1714218</v>
          </cell>
          <cell r="AR674" t="str">
            <v>11001</v>
          </cell>
        </row>
        <row r="675">
          <cell r="A675" t="str">
            <v>4225050200</v>
          </cell>
          <cell r="M675">
            <v>761207</v>
          </cell>
          <cell r="AR675" t="str">
            <v>11001</v>
          </cell>
        </row>
        <row r="676">
          <cell r="A676" t="str">
            <v>4225050200</v>
          </cell>
          <cell r="M676">
            <v>-6630</v>
          </cell>
          <cell r="AR676" t="str">
            <v>11001</v>
          </cell>
        </row>
        <row r="677">
          <cell r="A677" t="str">
            <v>4225050200</v>
          </cell>
          <cell r="M677">
            <v>579280</v>
          </cell>
          <cell r="AR677" t="str">
            <v>11001</v>
          </cell>
        </row>
        <row r="678">
          <cell r="A678" t="str">
            <v>4225050200</v>
          </cell>
          <cell r="M678">
            <v>-142052</v>
          </cell>
          <cell r="AR678" t="str">
            <v>11001</v>
          </cell>
        </row>
        <row r="679">
          <cell r="A679" t="str">
            <v>4225050200</v>
          </cell>
          <cell r="M679">
            <v>-738059</v>
          </cell>
          <cell r="AR679" t="str">
            <v>11001</v>
          </cell>
        </row>
        <row r="680">
          <cell r="A680" t="str">
            <v>4225050200</v>
          </cell>
          <cell r="M680">
            <v>-1848747</v>
          </cell>
          <cell r="AR680" t="str">
            <v>11001</v>
          </cell>
        </row>
        <row r="681">
          <cell r="A681" t="str">
            <v>4225050200</v>
          </cell>
          <cell r="M681">
            <v>-4925546</v>
          </cell>
          <cell r="AR681" t="str">
            <v>11001</v>
          </cell>
        </row>
        <row r="682">
          <cell r="A682" t="str">
            <v>4225050200</v>
          </cell>
          <cell r="M682">
            <v>-421092</v>
          </cell>
          <cell r="AR682" t="str">
            <v>11001</v>
          </cell>
        </row>
        <row r="683">
          <cell r="A683" t="str">
            <v>4225050200</v>
          </cell>
          <cell r="M683">
            <v>-1125927</v>
          </cell>
          <cell r="AR683" t="str">
            <v>11001</v>
          </cell>
        </row>
        <row r="684">
          <cell r="A684" t="str">
            <v>4225050200</v>
          </cell>
          <cell r="M684">
            <v>-721510</v>
          </cell>
          <cell r="AR684" t="str">
            <v>11001</v>
          </cell>
        </row>
        <row r="685">
          <cell r="A685" t="str">
            <v>4225050200</v>
          </cell>
          <cell r="M685">
            <v>-41830796</v>
          </cell>
          <cell r="AR685" t="str">
            <v>11001</v>
          </cell>
        </row>
        <row r="686">
          <cell r="A686" t="str">
            <v>4225050200</v>
          </cell>
          <cell r="M686">
            <v>-35569</v>
          </cell>
          <cell r="AR686" t="str">
            <v>11001</v>
          </cell>
        </row>
        <row r="687">
          <cell r="A687" t="str">
            <v>4225050200</v>
          </cell>
          <cell r="M687">
            <v>-71138</v>
          </cell>
          <cell r="AR687" t="str">
            <v>11001</v>
          </cell>
        </row>
        <row r="688">
          <cell r="A688" t="str">
            <v>4225050200</v>
          </cell>
          <cell r="M688">
            <v>-88848</v>
          </cell>
          <cell r="AR688" t="str">
            <v>11001</v>
          </cell>
        </row>
        <row r="689">
          <cell r="A689" t="str">
            <v>4225050200</v>
          </cell>
          <cell r="M689">
            <v>61404885</v>
          </cell>
          <cell r="AR689" t="str">
            <v>11001</v>
          </cell>
        </row>
        <row r="690">
          <cell r="A690" t="str">
            <v>4225050200</v>
          </cell>
          <cell r="M690">
            <v>-9124786</v>
          </cell>
          <cell r="AR690" t="str">
            <v>11001</v>
          </cell>
        </row>
        <row r="691">
          <cell r="A691" t="str">
            <v>4225050200</v>
          </cell>
          <cell r="M691">
            <v>-33350</v>
          </cell>
          <cell r="AR691" t="str">
            <v>11001</v>
          </cell>
        </row>
        <row r="692">
          <cell r="A692" t="str">
            <v>4225050200</v>
          </cell>
          <cell r="M692">
            <v>42906221</v>
          </cell>
          <cell r="AR692" t="str">
            <v>11001</v>
          </cell>
        </row>
        <row r="693">
          <cell r="A693" t="str">
            <v>4225050200</v>
          </cell>
          <cell r="M693">
            <v>-688456</v>
          </cell>
          <cell r="AR693" t="str">
            <v>11001</v>
          </cell>
        </row>
        <row r="694">
          <cell r="A694" t="str">
            <v>4225050200</v>
          </cell>
          <cell r="M694">
            <v>-626091</v>
          </cell>
          <cell r="AR694" t="str">
            <v>11001</v>
          </cell>
        </row>
        <row r="695">
          <cell r="A695" t="str">
            <v>4225050200</v>
          </cell>
          <cell r="M695">
            <v>-247232</v>
          </cell>
          <cell r="AR695" t="str">
            <v>11001</v>
          </cell>
        </row>
        <row r="696">
          <cell r="A696" t="str">
            <v>4225050200</v>
          </cell>
          <cell r="M696">
            <v>2779599</v>
          </cell>
          <cell r="AR696" t="str">
            <v>11001</v>
          </cell>
        </row>
        <row r="697">
          <cell r="A697" t="str">
            <v>4225050200</v>
          </cell>
          <cell r="M697">
            <v>4562393</v>
          </cell>
          <cell r="AR697" t="str">
            <v>11001</v>
          </cell>
        </row>
        <row r="698">
          <cell r="A698" t="str">
            <v>4225050200</v>
          </cell>
          <cell r="M698">
            <v>60054</v>
          </cell>
          <cell r="AR698" t="str">
            <v>11001</v>
          </cell>
        </row>
        <row r="699">
          <cell r="A699" t="str">
            <v>4225050200</v>
          </cell>
          <cell r="M699">
            <v>-432714</v>
          </cell>
          <cell r="AR699" t="str">
            <v>11001</v>
          </cell>
        </row>
        <row r="700">
          <cell r="A700" t="str">
            <v>4225050200</v>
          </cell>
          <cell r="M700">
            <v>-66700</v>
          </cell>
          <cell r="AR700" t="str">
            <v>11001</v>
          </cell>
        </row>
        <row r="701">
          <cell r="A701" t="str">
            <v>4225050200</v>
          </cell>
          <cell r="M701">
            <v>3452453</v>
          </cell>
          <cell r="AR701" t="str">
            <v>11001</v>
          </cell>
        </row>
        <row r="702">
          <cell r="A702" t="str">
            <v>4225050200</v>
          </cell>
          <cell r="M702">
            <v>-494464</v>
          </cell>
          <cell r="AR702" t="str">
            <v>11001</v>
          </cell>
        </row>
        <row r="703">
          <cell r="A703" t="str">
            <v>4225050200</v>
          </cell>
          <cell r="M703">
            <v>-41408</v>
          </cell>
          <cell r="AR703" t="str">
            <v>11001</v>
          </cell>
        </row>
        <row r="704">
          <cell r="A704" t="str">
            <v>4225050200</v>
          </cell>
          <cell r="M704">
            <v>94475</v>
          </cell>
          <cell r="AR704" t="str">
            <v>11001</v>
          </cell>
        </row>
        <row r="705">
          <cell r="A705" t="str">
            <v>4225050200</v>
          </cell>
          <cell r="M705">
            <v>-1522414</v>
          </cell>
          <cell r="AR705" t="str">
            <v>11001</v>
          </cell>
        </row>
        <row r="706">
          <cell r="A706" t="str">
            <v>4225050200</v>
          </cell>
          <cell r="M706">
            <v>-1543732</v>
          </cell>
          <cell r="AR706" t="str">
            <v>11001</v>
          </cell>
        </row>
        <row r="707">
          <cell r="A707" t="str">
            <v>4225050200</v>
          </cell>
          <cell r="M707">
            <v>421092</v>
          </cell>
          <cell r="AR707" t="str">
            <v>11001</v>
          </cell>
        </row>
        <row r="708">
          <cell r="A708" t="str">
            <v>4225050200</v>
          </cell>
          <cell r="M708">
            <v>1357613</v>
          </cell>
          <cell r="AR708" t="str">
            <v>11001</v>
          </cell>
        </row>
        <row r="709">
          <cell r="A709" t="str">
            <v>4225050200</v>
          </cell>
          <cell r="M709">
            <v>-57065</v>
          </cell>
          <cell r="AR709" t="str">
            <v>11001</v>
          </cell>
        </row>
        <row r="710">
          <cell r="A710" t="str">
            <v>4225050200</v>
          </cell>
          <cell r="M710">
            <v>-2735583</v>
          </cell>
          <cell r="AR710" t="str">
            <v>11001</v>
          </cell>
        </row>
        <row r="711">
          <cell r="A711" t="str">
            <v>4225050200</v>
          </cell>
          <cell r="M711">
            <v>1757360</v>
          </cell>
          <cell r="AR711" t="str">
            <v>11001</v>
          </cell>
        </row>
        <row r="712">
          <cell r="A712" t="str">
            <v>4225050200</v>
          </cell>
          <cell r="M712">
            <v>738059</v>
          </cell>
          <cell r="AR712" t="str">
            <v>11001</v>
          </cell>
        </row>
        <row r="713">
          <cell r="A713" t="str">
            <v>4225050200</v>
          </cell>
          <cell r="M713">
            <v>-344228</v>
          </cell>
          <cell r="AR713" t="str">
            <v>11001</v>
          </cell>
        </row>
        <row r="714">
          <cell r="A714" t="str">
            <v>4225050200</v>
          </cell>
          <cell r="M714">
            <v>-3315</v>
          </cell>
          <cell r="AR714" t="str">
            <v>11001</v>
          </cell>
        </row>
        <row r="715">
          <cell r="A715" t="str">
            <v>4225050200</v>
          </cell>
          <cell r="M715">
            <v>-579280</v>
          </cell>
          <cell r="AR715" t="str">
            <v>11001</v>
          </cell>
        </row>
        <row r="716">
          <cell r="A716" t="str">
            <v>4225050200</v>
          </cell>
          <cell r="M716">
            <v>-122809770</v>
          </cell>
          <cell r="AR716" t="str">
            <v>11001</v>
          </cell>
        </row>
        <row r="717">
          <cell r="A717" t="str">
            <v>4225050200</v>
          </cell>
          <cell r="M717">
            <v>-2715226</v>
          </cell>
          <cell r="AR717" t="str">
            <v>11001</v>
          </cell>
        </row>
        <row r="718">
          <cell r="A718" t="str">
            <v>4225050200</v>
          </cell>
          <cell r="M718">
            <v>721510</v>
          </cell>
          <cell r="AR718" t="str">
            <v>11001</v>
          </cell>
        </row>
        <row r="719">
          <cell r="A719" t="str">
            <v>4225050200</v>
          </cell>
          <cell r="M719">
            <v>-2211969</v>
          </cell>
          <cell r="AR719" t="str">
            <v>11001</v>
          </cell>
        </row>
        <row r="720">
          <cell r="A720" t="str">
            <v>4225050200</v>
          </cell>
          <cell r="M720">
            <v>-706241</v>
          </cell>
          <cell r="AR720" t="str">
            <v>11001</v>
          </cell>
        </row>
        <row r="721">
          <cell r="A721" t="str">
            <v>4225050200</v>
          </cell>
          <cell r="M721">
            <v>-670737</v>
          </cell>
          <cell r="AR721" t="str">
            <v>11001</v>
          </cell>
        </row>
        <row r="722">
          <cell r="A722" t="str">
            <v>4225050200</v>
          </cell>
          <cell r="M722">
            <v>-24109</v>
          </cell>
          <cell r="AR722" t="str">
            <v>11001</v>
          </cell>
        </row>
        <row r="723">
          <cell r="A723" t="str">
            <v>4225050200</v>
          </cell>
          <cell r="M723">
            <v>-522542</v>
          </cell>
          <cell r="AR723" t="str">
            <v>11001</v>
          </cell>
        </row>
        <row r="724">
          <cell r="A724" t="str">
            <v>4225050200</v>
          </cell>
          <cell r="M724">
            <v>-754672</v>
          </cell>
          <cell r="AR724" t="str">
            <v>11001</v>
          </cell>
        </row>
        <row r="725">
          <cell r="A725" t="str">
            <v>4225050200</v>
          </cell>
          <cell r="M725">
            <v>-61478087</v>
          </cell>
          <cell r="AR725" t="str">
            <v>11001</v>
          </cell>
        </row>
        <row r="726">
          <cell r="A726" t="str">
            <v>4225050200</v>
          </cell>
          <cell r="M726">
            <v>381325</v>
          </cell>
          <cell r="AR726" t="str">
            <v>11001</v>
          </cell>
        </row>
        <row r="727">
          <cell r="A727" t="str">
            <v>4225050200</v>
          </cell>
          <cell r="M727">
            <v>95134</v>
          </cell>
          <cell r="AR727" t="str">
            <v>11001</v>
          </cell>
        </row>
        <row r="728">
          <cell r="A728" t="str">
            <v>4225050200</v>
          </cell>
          <cell r="M728">
            <v>-5471166</v>
          </cell>
          <cell r="AR728" t="str">
            <v>11001</v>
          </cell>
        </row>
        <row r="729">
          <cell r="A729" t="str">
            <v>4225050200</v>
          </cell>
          <cell r="M729">
            <v>-1650590</v>
          </cell>
          <cell r="AR729" t="str">
            <v>11001</v>
          </cell>
        </row>
        <row r="730">
          <cell r="A730" t="str">
            <v>4225050200</v>
          </cell>
          <cell r="M730">
            <v>-1158560</v>
          </cell>
          <cell r="AR730" t="str">
            <v>11001</v>
          </cell>
        </row>
        <row r="731">
          <cell r="A731" t="str">
            <v>4225050200</v>
          </cell>
          <cell r="M731">
            <v>-85812442</v>
          </cell>
          <cell r="AR731" t="str">
            <v>11001</v>
          </cell>
        </row>
        <row r="732">
          <cell r="A732" t="str">
            <v>4225050200</v>
          </cell>
          <cell r="M732">
            <v>-2251854</v>
          </cell>
          <cell r="AR732" t="str">
            <v>11001</v>
          </cell>
        </row>
        <row r="733">
          <cell r="A733" t="str">
            <v>4225050200</v>
          </cell>
          <cell r="M733">
            <v>-90470</v>
          </cell>
          <cell r="AR733" t="str">
            <v>11001</v>
          </cell>
        </row>
        <row r="734">
          <cell r="A734" t="str">
            <v>4225050200</v>
          </cell>
          <cell r="M734">
            <v>-5731639</v>
          </cell>
          <cell r="AR734" t="str">
            <v>11001</v>
          </cell>
        </row>
        <row r="735">
          <cell r="A735" t="str">
            <v>4225050200</v>
          </cell>
          <cell r="M735">
            <v>-339278</v>
          </cell>
          <cell r="AR735" t="str">
            <v>11001</v>
          </cell>
        </row>
        <row r="736">
          <cell r="A736" t="str">
            <v>4225050200</v>
          </cell>
          <cell r="M736">
            <v>-1537150</v>
          </cell>
          <cell r="AR736" t="str">
            <v>11001</v>
          </cell>
        </row>
        <row r="737">
          <cell r="A737" t="str">
            <v>4225050200</v>
          </cell>
          <cell r="M737">
            <v>5387175</v>
          </cell>
          <cell r="AR737" t="str">
            <v>11001</v>
          </cell>
        </row>
        <row r="738">
          <cell r="A738" t="str">
            <v>4225050200</v>
          </cell>
          <cell r="M738">
            <v>-60054</v>
          </cell>
          <cell r="AR738" t="str">
            <v>11001</v>
          </cell>
        </row>
        <row r="739">
          <cell r="A739" t="str">
            <v>4225050200</v>
          </cell>
          <cell r="M739">
            <v>-95134</v>
          </cell>
          <cell r="AR739" t="str">
            <v>11001</v>
          </cell>
        </row>
        <row r="740">
          <cell r="A740" t="str">
            <v>4225050200</v>
          </cell>
          <cell r="M740">
            <v>-5559198</v>
          </cell>
          <cell r="AR740" t="str">
            <v>11001</v>
          </cell>
        </row>
        <row r="741">
          <cell r="A741" t="str">
            <v>4225050200</v>
          </cell>
          <cell r="M741">
            <v>-177696</v>
          </cell>
          <cell r="AR741" t="str">
            <v>11001</v>
          </cell>
        </row>
        <row r="742">
          <cell r="A742" t="str">
            <v>4225050200</v>
          </cell>
          <cell r="M742">
            <v>216357</v>
          </cell>
          <cell r="AR742" t="str">
            <v>11001</v>
          </cell>
        </row>
        <row r="743">
          <cell r="A743" t="str">
            <v>4225050200</v>
          </cell>
          <cell r="M743">
            <v>-1412482</v>
          </cell>
          <cell r="AR743" t="str">
            <v>11001</v>
          </cell>
        </row>
        <row r="744">
          <cell r="A744" t="str">
            <v>4225050200</v>
          </cell>
          <cell r="M744">
            <v>-601871</v>
          </cell>
          <cell r="AR744" t="str">
            <v>11001</v>
          </cell>
        </row>
        <row r="745">
          <cell r="A745" t="str">
            <v>4225050200</v>
          </cell>
          <cell r="M745">
            <v>38699</v>
          </cell>
          <cell r="AR745" t="str">
            <v>11001</v>
          </cell>
        </row>
        <row r="746">
          <cell r="A746" t="str">
            <v>4225050200</v>
          </cell>
          <cell r="M746">
            <v>-6904906</v>
          </cell>
          <cell r="AR746" t="str">
            <v>11001</v>
          </cell>
        </row>
        <row r="747">
          <cell r="A747" t="str">
            <v>4225050200</v>
          </cell>
          <cell r="M747">
            <v>-3074300</v>
          </cell>
          <cell r="AR747" t="str">
            <v>11001</v>
          </cell>
        </row>
        <row r="748">
          <cell r="A748" t="str">
            <v>4225050200</v>
          </cell>
          <cell r="M748">
            <v>-618543</v>
          </cell>
          <cell r="AR748" t="str">
            <v>11001</v>
          </cell>
        </row>
        <row r="749">
          <cell r="A749" t="str">
            <v>4225050200</v>
          </cell>
          <cell r="M749">
            <v>-21527</v>
          </cell>
          <cell r="AR749" t="str">
            <v>11001</v>
          </cell>
        </row>
        <row r="750">
          <cell r="A750" t="str">
            <v>4225050200</v>
          </cell>
          <cell r="M750">
            <v>-693690</v>
          </cell>
          <cell r="AR750" t="str">
            <v>11001</v>
          </cell>
        </row>
        <row r="751">
          <cell r="A751" t="str">
            <v>4225050200</v>
          </cell>
          <cell r="M751">
            <v>-77398</v>
          </cell>
          <cell r="AR751" t="str">
            <v>11001</v>
          </cell>
        </row>
        <row r="752">
          <cell r="A752" t="str">
            <v>4225050200</v>
          </cell>
          <cell r="M752">
            <v>-4562393</v>
          </cell>
          <cell r="AR752" t="str">
            <v>11001</v>
          </cell>
        </row>
        <row r="753">
          <cell r="A753" t="str">
            <v>4225050200</v>
          </cell>
          <cell r="M753">
            <v>-213899</v>
          </cell>
          <cell r="AR753" t="str">
            <v>11001</v>
          </cell>
        </row>
        <row r="754">
          <cell r="A754" t="str">
            <v>4225050200</v>
          </cell>
          <cell r="M754">
            <v>24109</v>
          </cell>
          <cell r="AR754" t="str">
            <v>11001</v>
          </cell>
        </row>
        <row r="755">
          <cell r="A755" t="str">
            <v>4225050200</v>
          </cell>
          <cell r="M755">
            <v>-3514720</v>
          </cell>
          <cell r="AR755" t="str">
            <v>11001</v>
          </cell>
        </row>
        <row r="756">
          <cell r="A756" t="str">
            <v>4225050200</v>
          </cell>
          <cell r="M756">
            <v>-190268</v>
          </cell>
          <cell r="AR756" t="str">
            <v>11001</v>
          </cell>
        </row>
        <row r="757">
          <cell r="A757" t="str">
            <v>4225050200</v>
          </cell>
          <cell r="M757">
            <v>-43054</v>
          </cell>
          <cell r="AR757" t="str">
            <v>11001</v>
          </cell>
        </row>
        <row r="758">
          <cell r="A758" t="str">
            <v>4225050200</v>
          </cell>
          <cell r="M758">
            <v>-10774350</v>
          </cell>
          <cell r="AR758" t="str">
            <v>11001</v>
          </cell>
        </row>
        <row r="759">
          <cell r="A759" t="str">
            <v>4225050200</v>
          </cell>
          <cell r="M759">
            <v>-120150</v>
          </cell>
          <cell r="AR759" t="str">
            <v>11001</v>
          </cell>
        </row>
        <row r="760">
          <cell r="A760" t="str">
            <v>4225050200</v>
          </cell>
          <cell r="M760">
            <v>-1235867</v>
          </cell>
          <cell r="AR760" t="str">
            <v>11001</v>
          </cell>
        </row>
        <row r="761">
          <cell r="A761" t="str">
            <v>4225050200</v>
          </cell>
          <cell r="M761">
            <v>-240300</v>
          </cell>
          <cell r="AR761" t="str">
            <v>11001</v>
          </cell>
        </row>
        <row r="762">
          <cell r="A762" t="str">
            <v>4225050200</v>
          </cell>
          <cell r="M762">
            <v>-857109</v>
          </cell>
          <cell r="AR762" t="str">
            <v>11001</v>
          </cell>
        </row>
        <row r="763">
          <cell r="A763" t="str">
            <v>4225050200</v>
          </cell>
          <cell r="M763">
            <v>1848747</v>
          </cell>
          <cell r="AR763" t="str">
            <v>11001</v>
          </cell>
        </row>
        <row r="764">
          <cell r="A764" t="str">
            <v>4225050200</v>
          </cell>
          <cell r="M764">
            <v>-188950</v>
          </cell>
          <cell r="AR764" t="str">
            <v>11001</v>
          </cell>
        </row>
        <row r="765">
          <cell r="A765" t="str">
            <v>4225050200</v>
          </cell>
          <cell r="M765">
            <v>1125927</v>
          </cell>
          <cell r="AR765" t="str">
            <v>11001</v>
          </cell>
        </row>
        <row r="766">
          <cell r="A766" t="str">
            <v>4225050200</v>
          </cell>
          <cell r="M766">
            <v>-1237086</v>
          </cell>
          <cell r="AR766" t="str">
            <v>11001</v>
          </cell>
        </row>
        <row r="767">
          <cell r="A767" t="str">
            <v>4225050200</v>
          </cell>
          <cell r="M767">
            <v>88848</v>
          </cell>
          <cell r="AR767" t="str">
            <v>11001</v>
          </cell>
        </row>
        <row r="768">
          <cell r="A768" t="str">
            <v>4225050200</v>
          </cell>
          <cell r="M768">
            <v>-9611432</v>
          </cell>
          <cell r="AR768" t="str">
            <v>11001</v>
          </cell>
        </row>
        <row r="769">
          <cell r="A769" t="str">
            <v>4225050200</v>
          </cell>
          <cell r="M769">
            <v>-94475</v>
          </cell>
          <cell r="AR769" t="str">
            <v>11001</v>
          </cell>
        </row>
        <row r="770">
          <cell r="A770" t="str">
            <v>4225050200</v>
          </cell>
          <cell r="M770">
            <v>-486017</v>
          </cell>
          <cell r="AR770" t="str">
            <v>11001</v>
          </cell>
        </row>
        <row r="771">
          <cell r="A771" t="str">
            <v>4225050200</v>
          </cell>
          <cell r="M771">
            <v>754672</v>
          </cell>
          <cell r="AR771" t="str">
            <v>11001</v>
          </cell>
        </row>
        <row r="772">
          <cell r="A772" t="str">
            <v>4225050200</v>
          </cell>
          <cell r="M772">
            <v>-11497546</v>
          </cell>
          <cell r="AR772" t="str">
            <v>11001</v>
          </cell>
        </row>
        <row r="773">
          <cell r="A773" t="str">
            <v>4225050200</v>
          </cell>
          <cell r="M773">
            <v>-636688</v>
          </cell>
          <cell r="AR773" t="str">
            <v>11001</v>
          </cell>
        </row>
        <row r="774">
          <cell r="A774" t="str">
            <v>4225050200</v>
          </cell>
          <cell r="M774">
            <v>-1273376</v>
          </cell>
          <cell r="AR774" t="str">
            <v>11001</v>
          </cell>
        </row>
        <row r="775">
          <cell r="A775" t="str">
            <v>4225050200</v>
          </cell>
          <cell r="M775">
            <v>6072744</v>
          </cell>
          <cell r="AR775" t="str">
            <v>11001</v>
          </cell>
        </row>
        <row r="776">
          <cell r="A776" t="str">
            <v>4225050200</v>
          </cell>
          <cell r="M776">
            <v>-4805716</v>
          </cell>
          <cell r="AR776" t="str">
            <v>11001</v>
          </cell>
        </row>
        <row r="777">
          <cell r="A777" t="str">
            <v>4225050200</v>
          </cell>
          <cell r="M777">
            <v>20704</v>
          </cell>
          <cell r="AR777" t="str">
            <v>11001</v>
          </cell>
        </row>
        <row r="778">
          <cell r="A778" t="str">
            <v>4225050200</v>
          </cell>
          <cell r="M778">
            <v>1013116</v>
          </cell>
          <cell r="AR778" t="str">
            <v>11001</v>
          </cell>
        </row>
        <row r="779">
          <cell r="A779" t="str">
            <v>4225050200</v>
          </cell>
          <cell r="M779">
            <v>3315</v>
          </cell>
          <cell r="AR779" t="str">
            <v>11001</v>
          </cell>
        </row>
        <row r="780">
          <cell r="A780" t="str">
            <v>4225050200</v>
          </cell>
          <cell r="M780">
            <v>-2253455</v>
          </cell>
          <cell r="AR780" t="str">
            <v>11001</v>
          </cell>
        </row>
        <row r="781">
          <cell r="A781" t="str">
            <v>4225050200</v>
          </cell>
          <cell r="M781">
            <v>-48218</v>
          </cell>
          <cell r="AR781" t="str">
            <v>11001</v>
          </cell>
        </row>
        <row r="782">
          <cell r="A782" t="str">
            <v>4225050200</v>
          </cell>
          <cell r="M782">
            <v>344228</v>
          </cell>
          <cell r="AR782" t="str">
            <v>11001</v>
          </cell>
        </row>
        <row r="783">
          <cell r="A783" t="str">
            <v>4225050200</v>
          </cell>
          <cell r="M783">
            <v>636688</v>
          </cell>
          <cell r="AR783" t="str">
            <v>11001</v>
          </cell>
        </row>
        <row r="784">
          <cell r="A784" t="str">
            <v>4225050200</v>
          </cell>
          <cell r="M784">
            <v>-1509344</v>
          </cell>
          <cell r="AR784" t="str">
            <v>11001</v>
          </cell>
        </row>
        <row r="785">
          <cell r="A785" t="str">
            <v>4225050200</v>
          </cell>
          <cell r="M785">
            <v>-3697494</v>
          </cell>
          <cell r="AR785" t="str">
            <v>11001</v>
          </cell>
        </row>
        <row r="786">
          <cell r="A786" t="str">
            <v>4225050200</v>
          </cell>
          <cell r="M786">
            <v>-196878</v>
          </cell>
          <cell r="AR786" t="str">
            <v>11001</v>
          </cell>
        </row>
        <row r="787">
          <cell r="A787" t="str">
            <v>4225050200</v>
          </cell>
          <cell r="M787">
            <v>-842184</v>
          </cell>
          <cell r="AR787" t="str">
            <v>11001</v>
          </cell>
        </row>
        <row r="788">
          <cell r="A788" t="str">
            <v>4225050200</v>
          </cell>
          <cell r="M788">
            <v>-1757360</v>
          </cell>
          <cell r="AR788" t="str">
            <v>11001</v>
          </cell>
        </row>
        <row r="789">
          <cell r="A789" t="str">
            <v>4225050200</v>
          </cell>
          <cell r="M789">
            <v>35569</v>
          </cell>
          <cell r="AR789" t="str">
            <v>11001</v>
          </cell>
        </row>
        <row r="790">
          <cell r="A790" t="str">
            <v>4225050200</v>
          </cell>
          <cell r="M790">
            <v>-346845</v>
          </cell>
          <cell r="AR790" t="str">
            <v>11001</v>
          </cell>
        </row>
        <row r="791">
          <cell r="A791" t="str">
            <v>4225050200</v>
          </cell>
          <cell r="M791">
            <v>-261271</v>
          </cell>
          <cell r="AR791" t="str">
            <v>11001</v>
          </cell>
        </row>
        <row r="792">
          <cell r="A792" t="str">
            <v>4225050200</v>
          </cell>
          <cell r="M792">
            <v>618543</v>
          </cell>
          <cell r="AR792" t="str">
            <v>11001</v>
          </cell>
        </row>
        <row r="793">
          <cell r="A793" t="str">
            <v>4225051200-G</v>
          </cell>
          <cell r="M793">
            <v>-8742563</v>
          </cell>
          <cell r="AR793" t="str">
            <v>11001</v>
          </cell>
        </row>
        <row r="794">
          <cell r="A794" t="str">
            <v>4225051200</v>
          </cell>
          <cell r="M794">
            <v>-70443769</v>
          </cell>
          <cell r="AR794" t="str">
            <v>11001</v>
          </cell>
        </row>
        <row r="795">
          <cell r="A795" t="str">
            <v>4225051200-G</v>
          </cell>
          <cell r="M795">
            <v>-100010295</v>
          </cell>
          <cell r="AR795" t="str">
            <v>11001</v>
          </cell>
        </row>
        <row r="796">
          <cell r="A796" t="str">
            <v>4225051200-G</v>
          </cell>
          <cell r="M796">
            <v>9000727</v>
          </cell>
          <cell r="AR796" t="str">
            <v>11001</v>
          </cell>
        </row>
        <row r="797">
          <cell r="A797" t="str">
            <v>4225051200</v>
          </cell>
          <cell r="M797">
            <v>70443769</v>
          </cell>
          <cell r="AR797" t="str">
            <v>11001</v>
          </cell>
        </row>
        <row r="798">
          <cell r="A798" t="str">
            <v>4225051200</v>
          </cell>
          <cell r="M798">
            <v>55056948</v>
          </cell>
          <cell r="AR798" t="str">
            <v>11001</v>
          </cell>
        </row>
        <row r="799">
          <cell r="A799" t="str">
            <v>4225051200-G</v>
          </cell>
          <cell r="M799">
            <v>50420777</v>
          </cell>
          <cell r="AR799" t="str">
            <v>11001</v>
          </cell>
        </row>
        <row r="800">
          <cell r="A800" t="str">
            <v>4225051200-G</v>
          </cell>
          <cell r="M800">
            <v>-9000727</v>
          </cell>
          <cell r="AR800" t="str">
            <v>11001</v>
          </cell>
        </row>
        <row r="801">
          <cell r="A801" t="str">
            <v>4225051200-G</v>
          </cell>
          <cell r="M801">
            <v>-50420777</v>
          </cell>
          <cell r="AR801" t="str">
            <v>11001</v>
          </cell>
        </row>
        <row r="802">
          <cell r="A802" t="str">
            <v>4225051200-G</v>
          </cell>
          <cell r="M802">
            <v>4248595</v>
          </cell>
          <cell r="AR802" t="str">
            <v>11001</v>
          </cell>
        </row>
        <row r="803">
          <cell r="A803" t="str">
            <v>4225051200-G</v>
          </cell>
          <cell r="M803">
            <v>-11509939</v>
          </cell>
          <cell r="AR803" t="str">
            <v>11001</v>
          </cell>
        </row>
        <row r="804">
          <cell r="A804" t="str">
            <v>4225051200</v>
          </cell>
          <cell r="M804">
            <v>-795303227</v>
          </cell>
          <cell r="AR804" t="str">
            <v>11001</v>
          </cell>
        </row>
        <row r="805">
          <cell r="A805" t="str">
            <v>4225051200</v>
          </cell>
          <cell r="M805">
            <v>-245996712</v>
          </cell>
          <cell r="AR805" t="str">
            <v>11001</v>
          </cell>
        </row>
        <row r="806">
          <cell r="A806" t="str">
            <v>4225051200</v>
          </cell>
          <cell r="M806">
            <v>-55056948</v>
          </cell>
          <cell r="AR806" t="str">
            <v>11001</v>
          </cell>
        </row>
        <row r="807">
          <cell r="A807" t="str">
            <v>4225051200</v>
          </cell>
          <cell r="M807">
            <v>291889388</v>
          </cell>
          <cell r="AR807" t="str">
            <v>11001</v>
          </cell>
        </row>
        <row r="808">
          <cell r="A808" t="str">
            <v>4225051200</v>
          </cell>
          <cell r="M808">
            <v>-291889388</v>
          </cell>
          <cell r="AR808" t="str">
            <v>11001</v>
          </cell>
        </row>
        <row r="809">
          <cell r="A809" t="str">
            <v>4225051200-G</v>
          </cell>
          <cell r="M809">
            <v>-4248595</v>
          </cell>
          <cell r="AR809" t="str">
            <v>11001</v>
          </cell>
        </row>
        <row r="810">
          <cell r="A810" t="str">
            <v>4225051200</v>
          </cell>
          <cell r="M810">
            <v>123798066</v>
          </cell>
          <cell r="AR810" t="str">
            <v>11001</v>
          </cell>
        </row>
        <row r="811">
          <cell r="A811" t="str">
            <v>4225051200</v>
          </cell>
          <cell r="M811">
            <v>-123798066</v>
          </cell>
          <cell r="AR811" t="str">
            <v>11001</v>
          </cell>
        </row>
        <row r="812">
          <cell r="A812" t="str">
            <v>4225051200-G</v>
          </cell>
          <cell r="M812">
            <v>11509939</v>
          </cell>
          <cell r="AR812" t="str">
            <v>11001</v>
          </cell>
        </row>
        <row r="813">
          <cell r="A813" t="str">
            <v>4225051200-G</v>
          </cell>
          <cell r="M813">
            <v>8742563</v>
          </cell>
          <cell r="AR813" t="str">
            <v>11001</v>
          </cell>
        </row>
        <row r="814">
          <cell r="A814" t="str">
            <v>4225051200</v>
          </cell>
          <cell r="M814">
            <v>245996712</v>
          </cell>
          <cell r="AR814" t="str">
            <v>11001</v>
          </cell>
        </row>
        <row r="815">
          <cell r="A815" t="str">
            <v>4305050000</v>
          </cell>
          <cell r="M815">
            <v>-10579</v>
          </cell>
          <cell r="AR815" t="str">
            <v>11001</v>
          </cell>
        </row>
        <row r="816">
          <cell r="A816" t="str">
            <v>4305050000</v>
          </cell>
          <cell r="M816">
            <v>-30995067</v>
          </cell>
          <cell r="AR816" t="str">
            <v>11001</v>
          </cell>
        </row>
        <row r="817">
          <cell r="A817" t="str">
            <v>4305050000</v>
          </cell>
          <cell r="M817">
            <v>-74263355</v>
          </cell>
          <cell r="AR817" t="str">
            <v>11001</v>
          </cell>
        </row>
        <row r="818">
          <cell r="A818" t="str">
            <v>4305050000</v>
          </cell>
          <cell r="M818">
            <v>-90597</v>
          </cell>
          <cell r="AR818" t="str">
            <v>11001</v>
          </cell>
        </row>
        <row r="819">
          <cell r="A819" t="str">
            <v>4305050000</v>
          </cell>
          <cell r="M819">
            <v>-42433556</v>
          </cell>
          <cell r="AR819" t="str">
            <v>11001</v>
          </cell>
        </row>
        <row r="820">
          <cell r="A820" t="str">
            <v>4305050000</v>
          </cell>
          <cell r="M820">
            <v>-10615</v>
          </cell>
          <cell r="AR820" t="str">
            <v>11001</v>
          </cell>
        </row>
        <row r="821">
          <cell r="A821" t="str">
            <v>4305050000</v>
          </cell>
          <cell r="M821">
            <v>-1461267</v>
          </cell>
          <cell r="AR821" t="str">
            <v>11001</v>
          </cell>
        </row>
        <row r="822">
          <cell r="A822" t="str">
            <v>4305050000</v>
          </cell>
          <cell r="M822">
            <v>-196518351</v>
          </cell>
          <cell r="AR822" t="str">
            <v>11001</v>
          </cell>
        </row>
        <row r="823">
          <cell r="A823" t="str">
            <v>4305050000</v>
          </cell>
          <cell r="M823">
            <v>-94279</v>
          </cell>
          <cell r="AR823" t="str">
            <v>11001</v>
          </cell>
        </row>
        <row r="824">
          <cell r="A824" t="str">
            <v>4305050000</v>
          </cell>
          <cell r="M824">
            <v>-85791</v>
          </cell>
          <cell r="AR824" t="str">
            <v>11001</v>
          </cell>
        </row>
        <row r="825">
          <cell r="A825" t="str">
            <v>4305050000</v>
          </cell>
          <cell r="M825">
            <v>-2884332</v>
          </cell>
          <cell r="AR825" t="str">
            <v>11001</v>
          </cell>
        </row>
        <row r="826">
          <cell r="A826" t="str">
            <v>4305050000</v>
          </cell>
          <cell r="M826">
            <v>-117806</v>
          </cell>
          <cell r="AR826" t="str">
            <v>11001</v>
          </cell>
        </row>
        <row r="827">
          <cell r="A827" t="str">
            <v>4305050000</v>
          </cell>
          <cell r="M827">
            <v>-1462416</v>
          </cell>
          <cell r="AR827" t="str">
            <v>11001</v>
          </cell>
        </row>
        <row r="828">
          <cell r="A828" t="str">
            <v>4305050000</v>
          </cell>
          <cell r="M828">
            <v>-4993</v>
          </cell>
          <cell r="AR828" t="str">
            <v>11001</v>
          </cell>
        </row>
        <row r="829">
          <cell r="A829" t="str">
            <v>4305050000</v>
          </cell>
          <cell r="M829">
            <v>19586857</v>
          </cell>
          <cell r="AR829" t="str">
            <v>11001</v>
          </cell>
        </row>
        <row r="830">
          <cell r="A830" t="str">
            <v>4305050000</v>
          </cell>
          <cell r="M830">
            <v>-10588</v>
          </cell>
          <cell r="AR830" t="str">
            <v>11001</v>
          </cell>
        </row>
        <row r="831">
          <cell r="A831" t="str">
            <v>4305050000</v>
          </cell>
          <cell r="M831">
            <v>194119588</v>
          </cell>
          <cell r="AR831" t="str">
            <v>11001</v>
          </cell>
        </row>
        <row r="832">
          <cell r="A832" t="str">
            <v>4305050000</v>
          </cell>
          <cell r="M832">
            <v>-10602</v>
          </cell>
          <cell r="AR832" t="str">
            <v>11001</v>
          </cell>
        </row>
        <row r="833">
          <cell r="A833" t="str">
            <v>4305050000</v>
          </cell>
          <cell r="M833">
            <v>665392919</v>
          </cell>
          <cell r="AR833" t="str">
            <v>11001</v>
          </cell>
        </row>
        <row r="834">
          <cell r="A834" t="str">
            <v>4305050000</v>
          </cell>
          <cell r="M834">
            <v>-31398340</v>
          </cell>
          <cell r="AR834" t="str">
            <v>11001</v>
          </cell>
        </row>
        <row r="835">
          <cell r="A835" t="str">
            <v>4305050000</v>
          </cell>
          <cell r="M835">
            <v>-46827</v>
          </cell>
          <cell r="AR835" t="str">
            <v>11001</v>
          </cell>
        </row>
        <row r="836">
          <cell r="A836" t="str">
            <v>4305050000</v>
          </cell>
          <cell r="M836">
            <v>214083107</v>
          </cell>
          <cell r="AR836" t="str">
            <v>11001</v>
          </cell>
        </row>
        <row r="837">
          <cell r="A837" t="str">
            <v>4305050000</v>
          </cell>
          <cell r="M837">
            <v>-39305002</v>
          </cell>
          <cell r="AR837" t="str">
            <v>11001</v>
          </cell>
        </row>
        <row r="838">
          <cell r="A838" t="str">
            <v>4305050000</v>
          </cell>
          <cell r="M838">
            <v>-274069</v>
          </cell>
          <cell r="AR838" t="str">
            <v>11001</v>
          </cell>
        </row>
        <row r="839">
          <cell r="A839" t="str">
            <v>4305050000</v>
          </cell>
          <cell r="M839">
            <v>-10586</v>
          </cell>
          <cell r="AR839" t="str">
            <v>11001</v>
          </cell>
        </row>
        <row r="840">
          <cell r="A840" t="str">
            <v>4305050000</v>
          </cell>
          <cell r="M840">
            <v>-98511</v>
          </cell>
          <cell r="AR840" t="str">
            <v>11001</v>
          </cell>
        </row>
        <row r="841">
          <cell r="A841" t="str">
            <v>4305050000</v>
          </cell>
          <cell r="M841">
            <v>-18749</v>
          </cell>
          <cell r="AR841" t="str">
            <v>11001</v>
          </cell>
        </row>
        <row r="842">
          <cell r="A842" t="str">
            <v>4305050000</v>
          </cell>
          <cell r="M842">
            <v>-109894273</v>
          </cell>
          <cell r="AR842" t="str">
            <v>11001</v>
          </cell>
        </row>
        <row r="843">
          <cell r="A843" t="str">
            <v>4305050000</v>
          </cell>
          <cell r="M843">
            <v>-916832073</v>
          </cell>
          <cell r="AR843" t="str">
            <v>11001</v>
          </cell>
        </row>
        <row r="844">
          <cell r="A844" t="str">
            <v>4305050000</v>
          </cell>
          <cell r="M844">
            <v>-4997</v>
          </cell>
          <cell r="AR844" t="str">
            <v>11001</v>
          </cell>
        </row>
        <row r="845">
          <cell r="A845" t="str">
            <v>4305050000</v>
          </cell>
          <cell r="M845">
            <v>-154447</v>
          </cell>
          <cell r="AR845" t="str">
            <v>11001</v>
          </cell>
        </row>
        <row r="846">
          <cell r="A846" t="str">
            <v>4305050000</v>
          </cell>
          <cell r="M846">
            <v>-392049413</v>
          </cell>
          <cell r="AR846" t="str">
            <v>11001</v>
          </cell>
        </row>
        <row r="847">
          <cell r="A847" t="str">
            <v>4305050000</v>
          </cell>
          <cell r="M847">
            <v>149290451</v>
          </cell>
          <cell r="AR847" t="str">
            <v>11001</v>
          </cell>
        </row>
        <row r="848">
          <cell r="A848" t="str">
            <v>4305050000</v>
          </cell>
          <cell r="M848">
            <v>-385089698</v>
          </cell>
          <cell r="AR848" t="str">
            <v>11001</v>
          </cell>
        </row>
        <row r="849">
          <cell r="A849" t="str">
            <v>4305050000</v>
          </cell>
          <cell r="M849">
            <v>-80886</v>
          </cell>
          <cell r="AR849" t="str">
            <v>11001</v>
          </cell>
        </row>
        <row r="850">
          <cell r="A850" t="str">
            <v>4305050000</v>
          </cell>
          <cell r="M850">
            <v>-5003</v>
          </cell>
          <cell r="AR850" t="str">
            <v>11001</v>
          </cell>
        </row>
        <row r="851">
          <cell r="A851" t="str">
            <v>4305050000</v>
          </cell>
          <cell r="M851">
            <v>-95502</v>
          </cell>
          <cell r="AR851" t="str">
            <v>11001</v>
          </cell>
        </row>
        <row r="852">
          <cell r="A852" t="str">
            <v>4305050000</v>
          </cell>
          <cell r="M852">
            <v>-4995</v>
          </cell>
          <cell r="AR852" t="str">
            <v>11001</v>
          </cell>
        </row>
        <row r="853">
          <cell r="A853" t="str">
            <v>4305050000</v>
          </cell>
          <cell r="M853">
            <v>-10613</v>
          </cell>
          <cell r="AR853" t="str">
            <v>11001</v>
          </cell>
        </row>
        <row r="854">
          <cell r="A854" t="str">
            <v>4305050000</v>
          </cell>
          <cell r="M854">
            <v>-41873633</v>
          </cell>
          <cell r="AR854" t="str">
            <v>11001</v>
          </cell>
        </row>
        <row r="855">
          <cell r="A855" t="str">
            <v>4305050000</v>
          </cell>
          <cell r="M855">
            <v>-5002</v>
          </cell>
          <cell r="AR855" t="str">
            <v>11001</v>
          </cell>
        </row>
        <row r="856">
          <cell r="A856" t="str">
            <v>4305050000</v>
          </cell>
          <cell r="M856">
            <v>305554717</v>
          </cell>
          <cell r="AR856" t="str">
            <v>11001</v>
          </cell>
        </row>
        <row r="857">
          <cell r="A857" t="str">
            <v>4305050000</v>
          </cell>
          <cell r="M857">
            <v>-10573</v>
          </cell>
          <cell r="AR857" t="str">
            <v>11001</v>
          </cell>
        </row>
        <row r="858">
          <cell r="A858" t="str">
            <v>4305050000</v>
          </cell>
          <cell r="M858">
            <v>103039710</v>
          </cell>
          <cell r="AR858" t="str">
            <v>11001</v>
          </cell>
        </row>
        <row r="859">
          <cell r="A859" t="str">
            <v>4305050000</v>
          </cell>
          <cell r="M859">
            <v>-111497</v>
          </cell>
          <cell r="AR859" t="str">
            <v>11001</v>
          </cell>
        </row>
        <row r="860">
          <cell r="A860" t="str">
            <v>4305050000</v>
          </cell>
          <cell r="M860">
            <v>-5004</v>
          </cell>
          <cell r="AR860" t="str">
            <v>11001</v>
          </cell>
        </row>
        <row r="861">
          <cell r="A861" t="str">
            <v>4305050000</v>
          </cell>
          <cell r="M861">
            <v>-831336322</v>
          </cell>
          <cell r="AR861" t="str">
            <v>11001</v>
          </cell>
        </row>
        <row r="862">
          <cell r="A862" t="str">
            <v>4305050000</v>
          </cell>
          <cell r="M862">
            <v>-93318</v>
          </cell>
          <cell r="AR862" t="str">
            <v>11001</v>
          </cell>
        </row>
        <row r="863">
          <cell r="A863" t="str">
            <v>4305050000</v>
          </cell>
          <cell r="M863">
            <v>-80928</v>
          </cell>
          <cell r="AR863" t="str">
            <v>11001</v>
          </cell>
        </row>
        <row r="864">
          <cell r="A864" t="str">
            <v>4305050000</v>
          </cell>
          <cell r="M864">
            <v>-10590</v>
          </cell>
          <cell r="AR864" t="str">
            <v>11001</v>
          </cell>
        </row>
        <row r="865">
          <cell r="A865" t="str">
            <v>4305050000</v>
          </cell>
          <cell r="M865">
            <v>-157849</v>
          </cell>
          <cell r="AR865" t="str">
            <v>11001</v>
          </cell>
        </row>
        <row r="866">
          <cell r="A866" t="str">
            <v>4305050000</v>
          </cell>
          <cell r="M866">
            <v>-477632806</v>
          </cell>
          <cell r="AR866" t="str">
            <v>11001</v>
          </cell>
        </row>
        <row r="867">
          <cell r="A867" t="str">
            <v>4305050000</v>
          </cell>
          <cell r="M867">
            <v>-94045</v>
          </cell>
          <cell r="AR867" t="str">
            <v>11001</v>
          </cell>
        </row>
        <row r="868">
          <cell r="A868" t="str">
            <v>4305050000</v>
          </cell>
          <cell r="M868">
            <v>-1472101</v>
          </cell>
          <cell r="AR868" t="str">
            <v>11001</v>
          </cell>
        </row>
        <row r="869">
          <cell r="A869" t="str">
            <v>4305050000</v>
          </cell>
          <cell r="M869">
            <v>-600286918</v>
          </cell>
          <cell r="AR869" t="str">
            <v>11001</v>
          </cell>
        </row>
        <row r="870">
          <cell r="A870" t="str">
            <v>4305050000</v>
          </cell>
          <cell r="M870">
            <v>-14575756</v>
          </cell>
          <cell r="AR870" t="str">
            <v>11001</v>
          </cell>
        </row>
        <row r="871">
          <cell r="A871" t="str">
            <v>4305050000</v>
          </cell>
          <cell r="M871">
            <v>-5588257</v>
          </cell>
          <cell r="AR871" t="str">
            <v>11001</v>
          </cell>
        </row>
        <row r="872">
          <cell r="A872" t="str">
            <v>4305050000</v>
          </cell>
          <cell r="M872">
            <v>-1847408486</v>
          </cell>
          <cell r="AR872" t="str">
            <v>11001</v>
          </cell>
        </row>
        <row r="873">
          <cell r="A873" t="str">
            <v>4305050000</v>
          </cell>
          <cell r="M873">
            <v>-3285602</v>
          </cell>
          <cell r="AR873" t="str">
            <v>11001</v>
          </cell>
        </row>
        <row r="874">
          <cell r="A874" t="str">
            <v>4305050000</v>
          </cell>
          <cell r="M874">
            <v>-31110300</v>
          </cell>
          <cell r="AR874" t="str">
            <v>11001</v>
          </cell>
        </row>
        <row r="875">
          <cell r="A875" t="str">
            <v>4305050000</v>
          </cell>
          <cell r="M875">
            <v>-93254</v>
          </cell>
          <cell r="AR875" t="str">
            <v>11001</v>
          </cell>
        </row>
        <row r="876">
          <cell r="A876" t="str">
            <v>4305050000</v>
          </cell>
          <cell r="M876">
            <v>-95125</v>
          </cell>
          <cell r="AR876" t="str">
            <v>11001</v>
          </cell>
        </row>
        <row r="877">
          <cell r="A877" t="str">
            <v>4305050000</v>
          </cell>
          <cell r="M877">
            <v>-31552</v>
          </cell>
          <cell r="AR877" t="str">
            <v>11001</v>
          </cell>
        </row>
        <row r="878">
          <cell r="A878" t="str">
            <v>4305050000</v>
          </cell>
          <cell r="M878">
            <v>-4994</v>
          </cell>
          <cell r="AR878" t="str">
            <v>11001</v>
          </cell>
        </row>
        <row r="879">
          <cell r="A879" t="str">
            <v>4305050000</v>
          </cell>
          <cell r="M879">
            <v>-95050</v>
          </cell>
          <cell r="AR879" t="str">
            <v>11001</v>
          </cell>
        </row>
        <row r="880">
          <cell r="A880" t="str">
            <v>4305050000</v>
          </cell>
          <cell r="M880">
            <v>-259874706</v>
          </cell>
          <cell r="AR880" t="str">
            <v>11001</v>
          </cell>
        </row>
        <row r="881">
          <cell r="A881" t="str">
            <v>4305050000</v>
          </cell>
          <cell r="M881">
            <v>-625929038</v>
          </cell>
          <cell r="AR881" t="str">
            <v>11001</v>
          </cell>
        </row>
        <row r="882">
          <cell r="A882" t="str">
            <v>4305050000</v>
          </cell>
          <cell r="M882">
            <v>-33714</v>
          </cell>
          <cell r="AR882" t="str">
            <v>11001</v>
          </cell>
        </row>
        <row r="883">
          <cell r="A883" t="str">
            <v>4305050000</v>
          </cell>
          <cell r="M883">
            <v>-1461650</v>
          </cell>
          <cell r="AR883" t="str">
            <v>11001</v>
          </cell>
        </row>
        <row r="884">
          <cell r="A884" t="str">
            <v>4305050000</v>
          </cell>
          <cell r="M884">
            <v>-10601</v>
          </cell>
          <cell r="AR884" t="str">
            <v>11001</v>
          </cell>
        </row>
        <row r="885">
          <cell r="A885" t="str">
            <v>4305050000</v>
          </cell>
          <cell r="M885">
            <v>-94711</v>
          </cell>
          <cell r="AR885" t="str">
            <v>11001</v>
          </cell>
        </row>
        <row r="886">
          <cell r="A886" t="str">
            <v>4305050000</v>
          </cell>
          <cell r="M886">
            <v>-5000</v>
          </cell>
          <cell r="AR886" t="str">
            <v>11001</v>
          </cell>
        </row>
        <row r="887">
          <cell r="A887" t="str">
            <v>4305050000</v>
          </cell>
          <cell r="M887">
            <v>-98361</v>
          </cell>
          <cell r="AR887" t="str">
            <v>11001</v>
          </cell>
        </row>
        <row r="888">
          <cell r="A888" t="str">
            <v>4305050000</v>
          </cell>
          <cell r="M888">
            <v>-4646000</v>
          </cell>
          <cell r="AR888" t="str">
            <v>11001</v>
          </cell>
        </row>
        <row r="889">
          <cell r="A889" t="str">
            <v>4305050000</v>
          </cell>
          <cell r="M889">
            <v>-115343462</v>
          </cell>
          <cell r="AR889" t="str">
            <v>11001</v>
          </cell>
        </row>
        <row r="890">
          <cell r="A890" t="str">
            <v>4305050000</v>
          </cell>
          <cell r="M890">
            <v>-1022528791</v>
          </cell>
          <cell r="AR890" t="str">
            <v>11001</v>
          </cell>
        </row>
        <row r="891">
          <cell r="A891" t="str">
            <v>4305050000</v>
          </cell>
          <cell r="M891">
            <v>-31628805</v>
          </cell>
          <cell r="AR891" t="str">
            <v>11001</v>
          </cell>
        </row>
        <row r="892">
          <cell r="A892" t="str">
            <v>4305050000</v>
          </cell>
          <cell r="M892">
            <v>-503164</v>
          </cell>
          <cell r="AR892" t="str">
            <v>11001</v>
          </cell>
        </row>
        <row r="893">
          <cell r="A893" t="str">
            <v>4305050000</v>
          </cell>
          <cell r="M893">
            <v>60681537</v>
          </cell>
          <cell r="AR893" t="str">
            <v>11001</v>
          </cell>
        </row>
        <row r="894">
          <cell r="A894" t="str">
            <v>4305050000</v>
          </cell>
          <cell r="M894">
            <v>-10581</v>
          </cell>
          <cell r="AR894" t="str">
            <v>11001</v>
          </cell>
        </row>
        <row r="895">
          <cell r="A895" t="str">
            <v>4305050000</v>
          </cell>
          <cell r="M895">
            <v>356609615</v>
          </cell>
          <cell r="AR895" t="str">
            <v>11001</v>
          </cell>
        </row>
        <row r="896">
          <cell r="A896" t="str">
            <v>4305050000</v>
          </cell>
          <cell r="M896">
            <v>-10606</v>
          </cell>
          <cell r="AR896" t="str">
            <v>11001</v>
          </cell>
        </row>
        <row r="897">
          <cell r="A897" t="str">
            <v>4305050000</v>
          </cell>
          <cell r="M897">
            <v>-92639546</v>
          </cell>
          <cell r="AR897" t="str">
            <v>11001</v>
          </cell>
        </row>
        <row r="898">
          <cell r="A898" t="str">
            <v>4305050000</v>
          </cell>
          <cell r="M898">
            <v>-295452090</v>
          </cell>
          <cell r="AR898" t="str">
            <v>11001</v>
          </cell>
        </row>
        <row r="899">
          <cell r="A899" t="str">
            <v>4305050000</v>
          </cell>
          <cell r="M899">
            <v>-1471712</v>
          </cell>
          <cell r="AR899" t="str">
            <v>11001</v>
          </cell>
        </row>
        <row r="900">
          <cell r="A900" t="str">
            <v>4305050000</v>
          </cell>
          <cell r="M900">
            <v>-10599</v>
          </cell>
          <cell r="AR900" t="str">
            <v>11001</v>
          </cell>
        </row>
        <row r="901">
          <cell r="A901" t="str">
            <v>4305050000</v>
          </cell>
          <cell r="M901">
            <v>396988669</v>
          </cell>
          <cell r="AR901" t="str">
            <v>11001</v>
          </cell>
        </row>
        <row r="902">
          <cell r="A902" t="str">
            <v>4305050000</v>
          </cell>
          <cell r="M902">
            <v>-10617</v>
          </cell>
          <cell r="AR902" t="str">
            <v>11001</v>
          </cell>
        </row>
        <row r="903">
          <cell r="A903" t="str">
            <v>4305050000</v>
          </cell>
          <cell r="M903">
            <v>-1462033</v>
          </cell>
          <cell r="AR903" t="str">
            <v>11001</v>
          </cell>
        </row>
        <row r="904">
          <cell r="A904" t="str">
            <v>4305050000</v>
          </cell>
          <cell r="M904">
            <v>-1471323</v>
          </cell>
          <cell r="AR904" t="str">
            <v>11001</v>
          </cell>
        </row>
        <row r="905">
          <cell r="A905" t="str">
            <v>4305050000</v>
          </cell>
          <cell r="M905">
            <v>7397366</v>
          </cell>
          <cell r="AR905" t="str">
            <v>11001</v>
          </cell>
        </row>
        <row r="906">
          <cell r="A906" t="str">
            <v>4305050000</v>
          </cell>
          <cell r="M906">
            <v>-1459735</v>
          </cell>
          <cell r="AR906" t="str">
            <v>11001</v>
          </cell>
        </row>
        <row r="907">
          <cell r="A907" t="str">
            <v>4305050000</v>
          </cell>
          <cell r="M907">
            <v>-38281</v>
          </cell>
          <cell r="AR907" t="str">
            <v>11001</v>
          </cell>
        </row>
        <row r="908">
          <cell r="A908" t="str">
            <v>4305050000</v>
          </cell>
          <cell r="M908">
            <v>-102301</v>
          </cell>
          <cell r="AR908" t="str">
            <v>11001</v>
          </cell>
        </row>
        <row r="909">
          <cell r="A909" t="str">
            <v>4305050000</v>
          </cell>
          <cell r="M909">
            <v>-724356</v>
          </cell>
          <cell r="AR909" t="str">
            <v>11001</v>
          </cell>
        </row>
        <row r="910">
          <cell r="A910" t="str">
            <v>4305050000</v>
          </cell>
          <cell r="M910">
            <v>-4991</v>
          </cell>
          <cell r="AR910" t="str">
            <v>11001</v>
          </cell>
        </row>
        <row r="911">
          <cell r="A911" t="str">
            <v>4305050000</v>
          </cell>
          <cell r="M911">
            <v>-130720</v>
          </cell>
          <cell r="AR911" t="str">
            <v>11001</v>
          </cell>
        </row>
        <row r="912">
          <cell r="A912" t="str">
            <v>4305050000</v>
          </cell>
          <cell r="M912">
            <v>-95440</v>
          </cell>
          <cell r="AR912" t="str">
            <v>11001</v>
          </cell>
        </row>
        <row r="913">
          <cell r="A913" t="str">
            <v>4305050000</v>
          </cell>
          <cell r="M913">
            <v>-1006141253</v>
          </cell>
          <cell r="AR913" t="str">
            <v>11001</v>
          </cell>
        </row>
        <row r="914">
          <cell r="A914" t="str">
            <v>4305050000</v>
          </cell>
          <cell r="M914">
            <v>-93176</v>
          </cell>
          <cell r="AR914" t="str">
            <v>11001</v>
          </cell>
        </row>
        <row r="915">
          <cell r="A915" t="str">
            <v>4305050000</v>
          </cell>
          <cell r="M915">
            <v>-472678</v>
          </cell>
          <cell r="AR915" t="str">
            <v>11001</v>
          </cell>
        </row>
        <row r="916">
          <cell r="A916" t="str">
            <v>4305050000</v>
          </cell>
          <cell r="M916">
            <v>-10577</v>
          </cell>
          <cell r="AR916" t="str">
            <v>11001</v>
          </cell>
        </row>
        <row r="917">
          <cell r="A917" t="str">
            <v>4305050000</v>
          </cell>
          <cell r="M917">
            <v>-10593</v>
          </cell>
          <cell r="AR917" t="str">
            <v>11001</v>
          </cell>
        </row>
        <row r="918">
          <cell r="A918" t="str">
            <v>4305050000</v>
          </cell>
          <cell r="M918">
            <v>-10582</v>
          </cell>
          <cell r="AR918" t="str">
            <v>11001</v>
          </cell>
        </row>
        <row r="919">
          <cell r="A919" t="str">
            <v>4305050000</v>
          </cell>
          <cell r="M919">
            <v>-4987</v>
          </cell>
          <cell r="AR919" t="str">
            <v>11001</v>
          </cell>
        </row>
        <row r="920">
          <cell r="A920" t="str">
            <v>4305050000</v>
          </cell>
          <cell r="M920">
            <v>-103897</v>
          </cell>
          <cell r="AR920" t="str">
            <v>11001</v>
          </cell>
        </row>
        <row r="921">
          <cell r="A921" t="str">
            <v>4305050000</v>
          </cell>
          <cell r="M921">
            <v>-30685</v>
          </cell>
          <cell r="AR921" t="str">
            <v>11001</v>
          </cell>
        </row>
        <row r="922">
          <cell r="A922" t="str">
            <v>4305050000</v>
          </cell>
          <cell r="M922">
            <v>-10592</v>
          </cell>
          <cell r="AR922" t="str">
            <v>11001</v>
          </cell>
        </row>
        <row r="923">
          <cell r="A923" t="str">
            <v>4305050000</v>
          </cell>
          <cell r="M923">
            <v>-76608</v>
          </cell>
          <cell r="AR923" t="str">
            <v>11001</v>
          </cell>
        </row>
        <row r="924">
          <cell r="A924" t="str">
            <v>4305050000</v>
          </cell>
          <cell r="M924">
            <v>-104411</v>
          </cell>
          <cell r="AR924" t="str">
            <v>11001</v>
          </cell>
        </row>
        <row r="925">
          <cell r="A925" t="str">
            <v>4305050000</v>
          </cell>
          <cell r="M925">
            <v>-51249</v>
          </cell>
          <cell r="AR925" t="str">
            <v>11001</v>
          </cell>
        </row>
        <row r="926">
          <cell r="A926" t="str">
            <v>4305050000</v>
          </cell>
          <cell r="M926">
            <v>1174564654</v>
          </cell>
          <cell r="AR926" t="str">
            <v>11001</v>
          </cell>
        </row>
        <row r="927">
          <cell r="A927" t="str">
            <v>4305050000</v>
          </cell>
          <cell r="M927">
            <v>-102212</v>
          </cell>
          <cell r="AR927" t="str">
            <v>11001</v>
          </cell>
        </row>
        <row r="928">
          <cell r="A928" t="str">
            <v>4305050000</v>
          </cell>
          <cell r="M928">
            <v>-93581</v>
          </cell>
          <cell r="AR928" t="str">
            <v>11001</v>
          </cell>
        </row>
        <row r="929">
          <cell r="A929" t="str">
            <v>4305050000</v>
          </cell>
          <cell r="M929">
            <v>-7397366</v>
          </cell>
          <cell r="AR929" t="str">
            <v>11001</v>
          </cell>
        </row>
        <row r="930">
          <cell r="A930" t="str">
            <v>4305050000</v>
          </cell>
          <cell r="M930">
            <v>-52358</v>
          </cell>
          <cell r="AR930" t="str">
            <v>11001</v>
          </cell>
        </row>
        <row r="931">
          <cell r="A931" t="str">
            <v>4305050000</v>
          </cell>
          <cell r="M931">
            <v>-93253</v>
          </cell>
          <cell r="AR931" t="str">
            <v>11001</v>
          </cell>
        </row>
        <row r="932">
          <cell r="A932" t="str">
            <v>4305050000</v>
          </cell>
          <cell r="M932">
            <v>-10610</v>
          </cell>
          <cell r="AR932" t="str">
            <v>11001</v>
          </cell>
        </row>
        <row r="933">
          <cell r="A933" t="str">
            <v>4305050000</v>
          </cell>
          <cell r="M933">
            <v>-152315</v>
          </cell>
          <cell r="AR933" t="str">
            <v>11001</v>
          </cell>
        </row>
        <row r="934">
          <cell r="A934" t="str">
            <v>4305050000</v>
          </cell>
          <cell r="M934">
            <v>-10595</v>
          </cell>
          <cell r="AR934" t="str">
            <v>11001</v>
          </cell>
        </row>
        <row r="935">
          <cell r="A935" t="str">
            <v>4305050000</v>
          </cell>
          <cell r="M935">
            <v>-180735</v>
          </cell>
          <cell r="AR935" t="str">
            <v>11001</v>
          </cell>
        </row>
        <row r="936">
          <cell r="A936" t="str">
            <v>4305050000</v>
          </cell>
          <cell r="M936">
            <v>-84818</v>
          </cell>
          <cell r="AR936" t="str">
            <v>11001</v>
          </cell>
        </row>
        <row r="937">
          <cell r="A937" t="str">
            <v>4305050000</v>
          </cell>
          <cell r="M937">
            <v>-75419</v>
          </cell>
          <cell r="AR937" t="str">
            <v>11001</v>
          </cell>
        </row>
        <row r="938">
          <cell r="A938" t="str">
            <v>4305050000</v>
          </cell>
          <cell r="M938">
            <v>-10608</v>
          </cell>
          <cell r="AR938" t="str">
            <v>11001</v>
          </cell>
        </row>
        <row r="939">
          <cell r="A939" t="str">
            <v>4305050000</v>
          </cell>
          <cell r="M939">
            <v>-80914</v>
          </cell>
          <cell r="AR939" t="str">
            <v>11001</v>
          </cell>
        </row>
        <row r="940">
          <cell r="A940" t="str">
            <v>4305050000</v>
          </cell>
          <cell r="M940">
            <v>-6473886</v>
          </cell>
          <cell r="AR940" t="str">
            <v>11001</v>
          </cell>
        </row>
        <row r="941">
          <cell r="A941" t="str">
            <v>4305050000</v>
          </cell>
          <cell r="M941">
            <v>-158144</v>
          </cell>
          <cell r="AR941" t="str">
            <v>11001</v>
          </cell>
        </row>
        <row r="942">
          <cell r="A942" t="str">
            <v>4305050000</v>
          </cell>
          <cell r="M942">
            <v>-43619</v>
          </cell>
          <cell r="AR942" t="str">
            <v>11001</v>
          </cell>
        </row>
        <row r="943">
          <cell r="A943" t="str">
            <v>4305050100</v>
          </cell>
          <cell r="M943">
            <v>-554507431</v>
          </cell>
          <cell r="AR943" t="str">
            <v>11001</v>
          </cell>
        </row>
        <row r="944">
          <cell r="A944" t="str">
            <v>4305050100</v>
          </cell>
          <cell r="M944">
            <v>-63603266</v>
          </cell>
          <cell r="AR944" t="str">
            <v>11001</v>
          </cell>
        </row>
        <row r="945">
          <cell r="A945" t="str">
            <v>4305050100</v>
          </cell>
          <cell r="M945">
            <v>-471261836</v>
          </cell>
          <cell r="AR945" t="str">
            <v>11001</v>
          </cell>
        </row>
        <row r="946">
          <cell r="A946" t="str">
            <v>4305050100</v>
          </cell>
          <cell r="M946">
            <v>2348225352</v>
          </cell>
          <cell r="AR946" t="str">
            <v>11001</v>
          </cell>
        </row>
        <row r="947">
          <cell r="A947" t="str">
            <v>4305050100</v>
          </cell>
          <cell r="M947">
            <v>-452655373</v>
          </cell>
          <cell r="AR947" t="str">
            <v>11001</v>
          </cell>
        </row>
        <row r="948">
          <cell r="A948" t="str">
            <v>4305050100</v>
          </cell>
          <cell r="M948">
            <v>318875908</v>
          </cell>
          <cell r="AR948" t="str">
            <v>11001</v>
          </cell>
        </row>
        <row r="949">
          <cell r="A949" t="str">
            <v>4305050100</v>
          </cell>
          <cell r="M949">
            <v>337953718</v>
          </cell>
          <cell r="AR949" t="str">
            <v>11001</v>
          </cell>
        </row>
        <row r="950">
          <cell r="A950" t="str">
            <v>4305050100</v>
          </cell>
          <cell r="M950">
            <v>412106576</v>
          </cell>
          <cell r="AR950" t="str">
            <v>11001</v>
          </cell>
        </row>
        <row r="951">
          <cell r="A951" t="str">
            <v>4305050100</v>
          </cell>
          <cell r="M951">
            <v>-3120359270</v>
          </cell>
          <cell r="AR951" t="str">
            <v>11001</v>
          </cell>
        </row>
        <row r="952">
          <cell r="A952" t="str">
            <v>4305050100</v>
          </cell>
          <cell r="M952">
            <v>327401581</v>
          </cell>
          <cell r="AR952" t="str">
            <v>11001</v>
          </cell>
        </row>
        <row r="953">
          <cell r="A953" t="str">
            <v>4305050100</v>
          </cell>
          <cell r="M953">
            <v>559645524</v>
          </cell>
          <cell r="AR953" t="str">
            <v>11001</v>
          </cell>
        </row>
        <row r="954">
          <cell r="A954" t="str">
            <v>4305050100</v>
          </cell>
          <cell r="M954">
            <v>-31974461</v>
          </cell>
          <cell r="AR954" t="str">
            <v>11001</v>
          </cell>
        </row>
        <row r="955">
          <cell r="A955" t="str">
            <v>4305050100</v>
          </cell>
          <cell r="M955">
            <v>-429061487</v>
          </cell>
          <cell r="AR955" t="str">
            <v>11001</v>
          </cell>
        </row>
        <row r="956">
          <cell r="A956" t="str">
            <v>4305050100</v>
          </cell>
          <cell r="M956">
            <v>-798080472</v>
          </cell>
          <cell r="AR956" t="str">
            <v>11001</v>
          </cell>
        </row>
        <row r="957">
          <cell r="A957" t="str">
            <v>4305050100</v>
          </cell>
          <cell r="M957">
            <v>-93676556</v>
          </cell>
          <cell r="AR957" t="str">
            <v>11001</v>
          </cell>
        </row>
        <row r="958">
          <cell r="A958" t="str">
            <v>4305050200</v>
          </cell>
          <cell r="M958">
            <v>-2500716667</v>
          </cell>
          <cell r="AR958" t="str">
            <v>11001</v>
          </cell>
        </row>
        <row r="959">
          <cell r="A959" t="str">
            <v>4305050200</v>
          </cell>
          <cell r="M959">
            <v>-1019666667</v>
          </cell>
          <cell r="AR959" t="str">
            <v>11001</v>
          </cell>
        </row>
        <row r="960">
          <cell r="A960" t="str">
            <v>4305050200</v>
          </cell>
          <cell r="M960">
            <v>-519861111</v>
          </cell>
          <cell r="AR960" t="str">
            <v>11001</v>
          </cell>
        </row>
        <row r="961">
          <cell r="A961" t="str">
            <v>4305050200</v>
          </cell>
          <cell r="M961">
            <v>314652778</v>
          </cell>
          <cell r="AR961" t="str">
            <v>11001</v>
          </cell>
        </row>
        <row r="962">
          <cell r="A962" t="str">
            <v>4305050200</v>
          </cell>
          <cell r="M962">
            <v>617166667</v>
          </cell>
          <cell r="AR962" t="str">
            <v>11001</v>
          </cell>
        </row>
        <row r="963">
          <cell r="A963" t="str">
            <v>4305050200</v>
          </cell>
          <cell r="M963">
            <v>-1980813333</v>
          </cell>
          <cell r="AR963" t="str">
            <v>11001</v>
          </cell>
        </row>
        <row r="964">
          <cell r="A964" t="str">
            <v>4305050200</v>
          </cell>
          <cell r="M964">
            <v>1198913333</v>
          </cell>
          <cell r="AR964" t="str">
            <v>11001</v>
          </cell>
        </row>
        <row r="965">
          <cell r="A965" t="str">
            <v>4305050200</v>
          </cell>
          <cell r="M965">
            <v>1513591667</v>
          </cell>
          <cell r="AR965" t="str">
            <v>11001</v>
          </cell>
        </row>
        <row r="966">
          <cell r="A966" t="str">
            <v>4305050300</v>
          </cell>
          <cell r="M966">
            <v>-8790734</v>
          </cell>
          <cell r="AR966" t="str">
            <v>44001</v>
          </cell>
        </row>
        <row r="967">
          <cell r="A967" t="str">
            <v>4305050300</v>
          </cell>
          <cell r="M967">
            <v>-1225782</v>
          </cell>
          <cell r="AR967" t="str">
            <v>15667</v>
          </cell>
        </row>
        <row r="968">
          <cell r="A968" t="str">
            <v>4305050300</v>
          </cell>
          <cell r="M968">
            <v>-5062958</v>
          </cell>
          <cell r="AR968" t="str">
            <v>25736</v>
          </cell>
        </row>
        <row r="969">
          <cell r="A969" t="str">
            <v>4305050300</v>
          </cell>
          <cell r="M969">
            <v>-12303304</v>
          </cell>
          <cell r="AR969" t="str">
            <v>66001</v>
          </cell>
        </row>
        <row r="970">
          <cell r="A970" t="str">
            <v>4305050300</v>
          </cell>
          <cell r="M970">
            <v>-7438290</v>
          </cell>
          <cell r="AR970" t="str">
            <v>44430</v>
          </cell>
        </row>
        <row r="971">
          <cell r="A971" t="str">
            <v>4305050300</v>
          </cell>
          <cell r="M971">
            <v>-1579553</v>
          </cell>
          <cell r="AR971" t="str">
            <v>47189</v>
          </cell>
        </row>
        <row r="972">
          <cell r="A972" t="str">
            <v>4305050300</v>
          </cell>
          <cell r="M972">
            <v>-1225782</v>
          </cell>
          <cell r="AR972" t="str">
            <v>15690</v>
          </cell>
        </row>
        <row r="973">
          <cell r="A973" t="str">
            <v>4305050300</v>
          </cell>
          <cell r="M973">
            <v>-18520726</v>
          </cell>
          <cell r="AR973" t="str">
            <v>20250</v>
          </cell>
        </row>
        <row r="974">
          <cell r="A974" t="str">
            <v>4305050300</v>
          </cell>
          <cell r="M974">
            <v>-5635105</v>
          </cell>
          <cell r="AR974" t="str">
            <v>20250</v>
          </cell>
        </row>
        <row r="975">
          <cell r="A975" t="str">
            <v>4305050300</v>
          </cell>
          <cell r="M975">
            <v>-18579130</v>
          </cell>
          <cell r="AR975" t="str">
            <v>66001</v>
          </cell>
        </row>
        <row r="976">
          <cell r="A976" t="str">
            <v>4305050300</v>
          </cell>
          <cell r="M976">
            <v>-3611788</v>
          </cell>
          <cell r="AR976" t="str">
            <v>68092</v>
          </cell>
        </row>
        <row r="977">
          <cell r="A977" t="str">
            <v>4305050300</v>
          </cell>
          <cell r="M977">
            <v>-13879304</v>
          </cell>
          <cell r="AR977" t="str">
            <v>76001</v>
          </cell>
        </row>
        <row r="978">
          <cell r="A978" t="str">
            <v>4305050300</v>
          </cell>
          <cell r="M978">
            <v>-28222997</v>
          </cell>
          <cell r="AR978" t="str">
            <v>44001</v>
          </cell>
        </row>
        <row r="979">
          <cell r="A979" t="str">
            <v>4305050300</v>
          </cell>
          <cell r="M979">
            <v>-14463356</v>
          </cell>
          <cell r="AR979" t="str">
            <v>44035</v>
          </cell>
        </row>
        <row r="980">
          <cell r="A980" t="str">
            <v>4305050300</v>
          </cell>
          <cell r="M980">
            <v>-2401852</v>
          </cell>
          <cell r="AR980" t="str">
            <v>47189</v>
          </cell>
        </row>
        <row r="981">
          <cell r="A981" t="str">
            <v>4305050300</v>
          </cell>
          <cell r="M981">
            <v>-28222997</v>
          </cell>
          <cell r="AR981" t="str">
            <v>44430</v>
          </cell>
        </row>
        <row r="982">
          <cell r="A982" t="str">
            <v>4305050300</v>
          </cell>
          <cell r="M982">
            <v>-12905456</v>
          </cell>
          <cell r="AR982" t="str">
            <v>25736</v>
          </cell>
        </row>
        <row r="983">
          <cell r="A983" t="str">
            <v>4305050300</v>
          </cell>
          <cell r="M983">
            <v>-12204707</v>
          </cell>
          <cell r="AR983" t="str">
            <v>44035</v>
          </cell>
        </row>
        <row r="984">
          <cell r="A984" t="str">
            <v>4305050300</v>
          </cell>
          <cell r="M984">
            <v>-2551684</v>
          </cell>
          <cell r="AR984" t="str">
            <v>15667</v>
          </cell>
        </row>
        <row r="985">
          <cell r="A985" t="str">
            <v>4305050300</v>
          </cell>
          <cell r="M985">
            <v>-24891002</v>
          </cell>
          <cell r="AR985" t="str">
            <v>25736</v>
          </cell>
        </row>
        <row r="986">
          <cell r="A986" t="str">
            <v>4305050300</v>
          </cell>
          <cell r="M986">
            <v>-1413187</v>
          </cell>
          <cell r="AR986" t="str">
            <v>20400</v>
          </cell>
        </row>
        <row r="987">
          <cell r="A987" t="str">
            <v>4305050300</v>
          </cell>
          <cell r="M987">
            <v>-1791507</v>
          </cell>
          <cell r="AR987" t="str">
            <v>20250</v>
          </cell>
        </row>
        <row r="988">
          <cell r="A988" t="str">
            <v>4305050300</v>
          </cell>
          <cell r="M988">
            <v>-1762991</v>
          </cell>
          <cell r="AR988" t="str">
            <v>41026</v>
          </cell>
        </row>
        <row r="989">
          <cell r="A989" t="str">
            <v>4305050300</v>
          </cell>
          <cell r="M989">
            <v>-6830122</v>
          </cell>
          <cell r="AR989" t="str">
            <v>20250</v>
          </cell>
        </row>
        <row r="990">
          <cell r="A990" t="str">
            <v>4305050300</v>
          </cell>
          <cell r="M990">
            <v>-17171037</v>
          </cell>
          <cell r="AR990" t="str">
            <v>44847</v>
          </cell>
        </row>
        <row r="991">
          <cell r="A991" t="str">
            <v>4305050300</v>
          </cell>
          <cell r="M991">
            <v>-5062958</v>
          </cell>
          <cell r="AR991" t="str">
            <v>15667</v>
          </cell>
        </row>
        <row r="992">
          <cell r="A992" t="str">
            <v>4305050300</v>
          </cell>
          <cell r="M992">
            <v>-18520726</v>
          </cell>
          <cell r="AR992" t="str">
            <v>44035</v>
          </cell>
        </row>
        <row r="993">
          <cell r="A993" t="str">
            <v>4305050300</v>
          </cell>
          <cell r="M993">
            <v>-2819566</v>
          </cell>
          <cell r="AR993" t="str">
            <v>47001</v>
          </cell>
        </row>
        <row r="994">
          <cell r="A994" t="str">
            <v>4305050300</v>
          </cell>
          <cell r="M994">
            <v>-3226491</v>
          </cell>
          <cell r="AR994" t="str">
            <v>76001</v>
          </cell>
        </row>
        <row r="995">
          <cell r="A995" t="str">
            <v>4305050300</v>
          </cell>
          <cell r="M995">
            <v>-12833310</v>
          </cell>
          <cell r="AR995" t="str">
            <v>76892</v>
          </cell>
        </row>
        <row r="996">
          <cell r="A996" t="str">
            <v>4305050300</v>
          </cell>
          <cell r="M996">
            <v>-1470868</v>
          </cell>
          <cell r="AR996" t="str">
            <v>20250</v>
          </cell>
        </row>
        <row r="997">
          <cell r="A997" t="str">
            <v>4305050300</v>
          </cell>
          <cell r="M997">
            <v>-1750638</v>
          </cell>
          <cell r="AR997" t="str">
            <v>76892</v>
          </cell>
        </row>
        <row r="998">
          <cell r="A998" t="str">
            <v>4305050300</v>
          </cell>
          <cell r="M998">
            <v>-1413187</v>
          </cell>
          <cell r="AR998" t="str">
            <v>20250</v>
          </cell>
        </row>
        <row r="999">
          <cell r="A999" t="str">
            <v>4305050300</v>
          </cell>
          <cell r="M999">
            <v>-2863018</v>
          </cell>
          <cell r="AR999" t="str">
            <v>05347</v>
          </cell>
        </row>
        <row r="1000">
          <cell r="A1000" t="str">
            <v>4305050300</v>
          </cell>
          <cell r="M1000">
            <v>-17171037</v>
          </cell>
          <cell r="AR1000" t="str">
            <v>44035</v>
          </cell>
        </row>
        <row r="1001">
          <cell r="A1001" t="str">
            <v>4305050300</v>
          </cell>
          <cell r="M1001">
            <v>-282235</v>
          </cell>
          <cell r="AR1001" t="str">
            <v>15690</v>
          </cell>
        </row>
        <row r="1002">
          <cell r="A1002" t="str">
            <v>4305050300</v>
          </cell>
          <cell r="M1002">
            <v>-2575292</v>
          </cell>
          <cell r="AR1002" t="str">
            <v>20400</v>
          </cell>
        </row>
        <row r="1003">
          <cell r="A1003" t="str">
            <v>4305050300</v>
          </cell>
          <cell r="M1003">
            <v>-3227745</v>
          </cell>
          <cell r="AR1003" t="str">
            <v>25754</v>
          </cell>
        </row>
        <row r="1004">
          <cell r="A1004" t="str">
            <v>4305050300</v>
          </cell>
          <cell r="M1004">
            <v>-14463356</v>
          </cell>
          <cell r="AR1004" t="str">
            <v>44001</v>
          </cell>
        </row>
        <row r="1005">
          <cell r="A1005" t="str">
            <v>4305050300</v>
          </cell>
          <cell r="M1005">
            <v>-8196421</v>
          </cell>
          <cell r="AR1005" t="str">
            <v>44847</v>
          </cell>
        </row>
        <row r="1006">
          <cell r="A1006" t="str">
            <v>4305050300</v>
          </cell>
          <cell r="M1006">
            <v>-12905456</v>
          </cell>
          <cell r="AR1006" t="str">
            <v>25754</v>
          </cell>
        </row>
        <row r="1007">
          <cell r="A1007" t="str">
            <v>4305050300</v>
          </cell>
          <cell r="M1007">
            <v>-16886596</v>
          </cell>
          <cell r="AR1007" t="str">
            <v>25736</v>
          </cell>
        </row>
        <row r="1008">
          <cell r="A1008" t="str">
            <v>4305050300</v>
          </cell>
          <cell r="M1008">
            <v>-1470868</v>
          </cell>
          <cell r="AR1008" t="str">
            <v>20250</v>
          </cell>
        </row>
        <row r="1009">
          <cell r="A1009" t="str">
            <v>4305050300</v>
          </cell>
          <cell r="M1009">
            <v>-2881234</v>
          </cell>
          <cell r="AR1009" t="str">
            <v>25799</v>
          </cell>
        </row>
        <row r="1010">
          <cell r="A1010" t="str">
            <v>4305050300</v>
          </cell>
          <cell r="M1010">
            <v>-996690</v>
          </cell>
          <cell r="AR1010" t="str">
            <v>25799</v>
          </cell>
        </row>
        <row r="1011">
          <cell r="A1011" t="str">
            <v>4305050300</v>
          </cell>
          <cell r="M1011">
            <v>-24891002</v>
          </cell>
          <cell r="AR1011" t="str">
            <v>68092</v>
          </cell>
        </row>
        <row r="1012">
          <cell r="A1012" t="str">
            <v>4305050300</v>
          </cell>
          <cell r="M1012">
            <v>-12303304</v>
          </cell>
          <cell r="AR1012" t="str">
            <v>05347</v>
          </cell>
        </row>
        <row r="1013">
          <cell r="A1013" t="str">
            <v>4305050300</v>
          </cell>
          <cell r="M1013">
            <v>-18579130</v>
          </cell>
          <cell r="AR1013" t="str">
            <v>76001</v>
          </cell>
        </row>
        <row r="1014">
          <cell r="A1014" t="str">
            <v>4305050300</v>
          </cell>
          <cell r="M1014">
            <v>-12833310</v>
          </cell>
          <cell r="AR1014" t="str">
            <v>76001</v>
          </cell>
        </row>
        <row r="1015">
          <cell r="A1015" t="str">
            <v>4305050300</v>
          </cell>
          <cell r="M1015">
            <v>-2881234</v>
          </cell>
          <cell r="AR1015" t="str">
            <v>25736</v>
          </cell>
        </row>
        <row r="1016">
          <cell r="A1016" t="str">
            <v>4305050300</v>
          </cell>
          <cell r="M1016">
            <v>-4664546</v>
          </cell>
          <cell r="AR1016" t="str">
            <v>66001</v>
          </cell>
        </row>
        <row r="1017">
          <cell r="A1017" t="str">
            <v>4305050300</v>
          </cell>
          <cell r="M1017">
            <v>-10154232</v>
          </cell>
          <cell r="AR1017" t="str">
            <v>44035</v>
          </cell>
        </row>
        <row r="1018">
          <cell r="A1018" t="str">
            <v>4305050300</v>
          </cell>
          <cell r="M1018">
            <v>-4146586</v>
          </cell>
          <cell r="AR1018" t="str">
            <v>25736</v>
          </cell>
        </row>
        <row r="1019">
          <cell r="A1019" t="str">
            <v>4305050400</v>
          </cell>
          <cell r="M1019">
            <v>-179588</v>
          </cell>
          <cell r="AR1019" t="str">
            <v>11001</v>
          </cell>
        </row>
        <row r="1020">
          <cell r="A1020" t="str">
            <v>4305050400</v>
          </cell>
          <cell r="M1020">
            <v>-165536</v>
          </cell>
          <cell r="AR1020" t="str">
            <v>11001</v>
          </cell>
        </row>
        <row r="1021">
          <cell r="A1021" t="str">
            <v>4305050400</v>
          </cell>
          <cell r="M1021">
            <v>-89737</v>
          </cell>
          <cell r="AR1021" t="str">
            <v>11001</v>
          </cell>
        </row>
        <row r="1022">
          <cell r="A1022" t="str">
            <v>4305050400</v>
          </cell>
          <cell r="M1022">
            <v>-29345</v>
          </cell>
          <cell r="AR1022" t="str">
            <v>11001</v>
          </cell>
        </row>
        <row r="1023">
          <cell r="A1023" t="str">
            <v>4305050400</v>
          </cell>
          <cell r="M1023">
            <v>-228018</v>
          </cell>
          <cell r="AR1023" t="str">
            <v>11001</v>
          </cell>
        </row>
        <row r="1024">
          <cell r="A1024" t="str">
            <v>4305050400</v>
          </cell>
          <cell r="M1024">
            <v>-52873</v>
          </cell>
          <cell r="AR1024" t="str">
            <v>11001</v>
          </cell>
        </row>
        <row r="1025">
          <cell r="A1025" t="str">
            <v>4305050400</v>
          </cell>
          <cell r="M1025">
            <v>-81995</v>
          </cell>
          <cell r="AR1025" t="str">
            <v>11001</v>
          </cell>
        </row>
        <row r="1026">
          <cell r="A1026" t="str">
            <v>4305050400</v>
          </cell>
          <cell r="M1026">
            <v>-326206</v>
          </cell>
          <cell r="AR1026" t="str">
            <v>11001</v>
          </cell>
        </row>
        <row r="1027">
          <cell r="A1027" t="str">
            <v>4305050400</v>
          </cell>
          <cell r="M1027">
            <v>-478978</v>
          </cell>
          <cell r="AR1027" t="str">
            <v>11001</v>
          </cell>
        </row>
        <row r="1028">
          <cell r="A1028" t="str">
            <v>4305050400</v>
          </cell>
          <cell r="M1028">
            <v>-147212</v>
          </cell>
          <cell r="AR1028" t="str">
            <v>11001</v>
          </cell>
        </row>
        <row r="1029">
          <cell r="A1029" t="str">
            <v>4305050400</v>
          </cell>
          <cell r="M1029">
            <v>-47635</v>
          </cell>
          <cell r="AR1029" t="str">
            <v>11001</v>
          </cell>
        </row>
        <row r="1030">
          <cell r="A1030" t="str">
            <v>4305050400</v>
          </cell>
          <cell r="M1030">
            <v>-69878</v>
          </cell>
          <cell r="AR1030" t="str">
            <v>11001</v>
          </cell>
        </row>
        <row r="1031">
          <cell r="A1031" t="str">
            <v>4305050400</v>
          </cell>
          <cell r="M1031">
            <v>-108920</v>
          </cell>
          <cell r="AR1031" t="str">
            <v>11001</v>
          </cell>
        </row>
        <row r="1032">
          <cell r="A1032" t="str">
            <v>4305050400</v>
          </cell>
          <cell r="M1032">
            <v>-227055</v>
          </cell>
          <cell r="AR1032" t="str">
            <v>11001</v>
          </cell>
        </row>
        <row r="1033">
          <cell r="A1033" t="str">
            <v>4305050400</v>
          </cell>
          <cell r="M1033">
            <v>-111864</v>
          </cell>
          <cell r="AR1033" t="str">
            <v>11001</v>
          </cell>
        </row>
        <row r="1034">
          <cell r="A1034" t="str">
            <v>4305050400</v>
          </cell>
          <cell r="M1034">
            <v>-65098</v>
          </cell>
          <cell r="AR1034" t="str">
            <v>11001</v>
          </cell>
        </row>
        <row r="1035">
          <cell r="A1035" t="str">
            <v>4305050400</v>
          </cell>
          <cell r="M1035">
            <v>-271851</v>
          </cell>
          <cell r="AR1035" t="str">
            <v>11001</v>
          </cell>
        </row>
        <row r="1036">
          <cell r="A1036" t="str">
            <v>4305050400</v>
          </cell>
          <cell r="M1036">
            <v>-373695</v>
          </cell>
          <cell r="AR1036" t="str">
            <v>11001</v>
          </cell>
        </row>
        <row r="1037">
          <cell r="A1037" t="str">
            <v>4305050400</v>
          </cell>
          <cell r="M1037">
            <v>-927496</v>
          </cell>
          <cell r="AR1037" t="str">
            <v>11001</v>
          </cell>
        </row>
        <row r="1038">
          <cell r="A1038" t="str">
            <v>4305050400</v>
          </cell>
          <cell r="M1038">
            <v>-75371</v>
          </cell>
          <cell r="AR1038" t="str">
            <v>11001</v>
          </cell>
        </row>
        <row r="1039">
          <cell r="A1039" t="str">
            <v>4305050400</v>
          </cell>
          <cell r="M1039">
            <v>-150315</v>
          </cell>
          <cell r="AR1039" t="str">
            <v>11001</v>
          </cell>
        </row>
        <row r="1040">
          <cell r="A1040" t="str">
            <v>4305050400</v>
          </cell>
          <cell r="M1040">
            <v>-63898</v>
          </cell>
          <cell r="AR1040" t="str">
            <v>11001</v>
          </cell>
        </row>
        <row r="1041">
          <cell r="A1041" t="str">
            <v>4305050400</v>
          </cell>
          <cell r="M1041">
            <v>-404544</v>
          </cell>
          <cell r="AR1041" t="str">
            <v>11001</v>
          </cell>
        </row>
        <row r="1042">
          <cell r="A1042" t="str">
            <v>4305050400</v>
          </cell>
          <cell r="M1042">
            <v>-555569</v>
          </cell>
          <cell r="AR1042" t="str">
            <v>11001</v>
          </cell>
        </row>
        <row r="1043">
          <cell r="A1043" t="str">
            <v>4305050400</v>
          </cell>
          <cell r="M1043">
            <v>-79214</v>
          </cell>
          <cell r="AR1043" t="str">
            <v>11001</v>
          </cell>
        </row>
        <row r="1044">
          <cell r="A1044" t="str">
            <v>4305050400</v>
          </cell>
          <cell r="M1044">
            <v>-157363</v>
          </cell>
          <cell r="AR1044" t="str">
            <v>11001</v>
          </cell>
        </row>
        <row r="1045">
          <cell r="A1045" t="str">
            <v>4305050400</v>
          </cell>
          <cell r="M1045">
            <v>-415497</v>
          </cell>
          <cell r="AR1045" t="str">
            <v>11001</v>
          </cell>
        </row>
        <row r="1046">
          <cell r="A1046" t="str">
            <v>4305050400</v>
          </cell>
          <cell r="M1046">
            <v>-38877</v>
          </cell>
          <cell r="AR1046" t="str">
            <v>11001</v>
          </cell>
        </row>
        <row r="1047">
          <cell r="A1047" t="str">
            <v>4305050400</v>
          </cell>
          <cell r="M1047">
            <v>-391979</v>
          </cell>
          <cell r="AR1047" t="str">
            <v>11001</v>
          </cell>
        </row>
        <row r="1048">
          <cell r="A1048" t="str">
            <v>4305050400</v>
          </cell>
          <cell r="M1048">
            <v>-82209</v>
          </cell>
          <cell r="AR1048" t="str">
            <v>11001</v>
          </cell>
        </row>
        <row r="1049">
          <cell r="A1049" t="str">
            <v>4305050400</v>
          </cell>
          <cell r="M1049">
            <v>-94595</v>
          </cell>
          <cell r="AR1049" t="str">
            <v>11001</v>
          </cell>
        </row>
        <row r="1050">
          <cell r="A1050" t="str">
            <v>4305050400</v>
          </cell>
          <cell r="M1050">
            <v>-120412</v>
          </cell>
          <cell r="AR1050" t="str">
            <v>11001</v>
          </cell>
        </row>
        <row r="1051">
          <cell r="A1051" t="str">
            <v>4305050400</v>
          </cell>
          <cell r="M1051">
            <v>-27177</v>
          </cell>
          <cell r="AR1051" t="str">
            <v>11001</v>
          </cell>
        </row>
        <row r="1052">
          <cell r="A1052" t="str">
            <v>4305050400</v>
          </cell>
          <cell r="M1052">
            <v>-108921</v>
          </cell>
          <cell r="AR1052" t="str">
            <v>11001</v>
          </cell>
        </row>
        <row r="1053">
          <cell r="A1053" t="str">
            <v>4305050400</v>
          </cell>
          <cell r="M1053">
            <v>-402489</v>
          </cell>
          <cell r="AR1053" t="str">
            <v>11001</v>
          </cell>
        </row>
        <row r="1054">
          <cell r="A1054" t="str">
            <v>4305050400</v>
          </cell>
          <cell r="M1054">
            <v>-134968</v>
          </cell>
          <cell r="AR1054" t="str">
            <v>11001</v>
          </cell>
        </row>
        <row r="1055">
          <cell r="A1055" t="str">
            <v>4305050400</v>
          </cell>
          <cell r="M1055">
            <v>-164954</v>
          </cell>
          <cell r="AR1055" t="str">
            <v>11001</v>
          </cell>
        </row>
        <row r="1056">
          <cell r="A1056" t="str">
            <v>4305050400</v>
          </cell>
          <cell r="M1056">
            <v>-46566</v>
          </cell>
          <cell r="AR1056" t="str">
            <v>11001</v>
          </cell>
        </row>
        <row r="1057">
          <cell r="A1057" t="str">
            <v>4305050400</v>
          </cell>
          <cell r="M1057">
            <v>-209860</v>
          </cell>
          <cell r="AR1057" t="str">
            <v>11001</v>
          </cell>
        </row>
        <row r="1058">
          <cell r="A1058" t="str">
            <v>4305050400</v>
          </cell>
          <cell r="M1058">
            <v>-251065</v>
          </cell>
          <cell r="AR1058" t="str">
            <v>11001</v>
          </cell>
        </row>
        <row r="1059">
          <cell r="A1059" t="str">
            <v>4305050400</v>
          </cell>
          <cell r="M1059">
            <v>-85312</v>
          </cell>
          <cell r="AR1059" t="str">
            <v>11001</v>
          </cell>
        </row>
        <row r="1060">
          <cell r="A1060" t="str">
            <v>4305050400</v>
          </cell>
          <cell r="M1060">
            <v>-558177</v>
          </cell>
          <cell r="AR1060" t="str">
            <v>11001</v>
          </cell>
        </row>
        <row r="1061">
          <cell r="A1061" t="str">
            <v>4305050400</v>
          </cell>
          <cell r="M1061">
            <v>-30081</v>
          </cell>
          <cell r="AR1061" t="str">
            <v>11001</v>
          </cell>
        </row>
        <row r="1062">
          <cell r="A1062" t="str">
            <v>4305050400</v>
          </cell>
          <cell r="M1062">
            <v>-25758</v>
          </cell>
          <cell r="AR1062" t="str">
            <v>11001</v>
          </cell>
        </row>
        <row r="1063">
          <cell r="A1063" t="str">
            <v>4305050400</v>
          </cell>
          <cell r="M1063">
            <v>-120392</v>
          </cell>
          <cell r="AR1063" t="str">
            <v>11001</v>
          </cell>
        </row>
        <row r="1064">
          <cell r="A1064" t="str">
            <v>4305050400</v>
          </cell>
          <cell r="M1064">
            <v>-56430</v>
          </cell>
          <cell r="AR1064" t="str">
            <v>11001</v>
          </cell>
        </row>
        <row r="1065">
          <cell r="A1065" t="str">
            <v>4305050400</v>
          </cell>
          <cell r="M1065">
            <v>-56039</v>
          </cell>
          <cell r="AR1065" t="str">
            <v>11001</v>
          </cell>
        </row>
        <row r="1066">
          <cell r="A1066" t="str">
            <v>4305050400</v>
          </cell>
          <cell r="M1066">
            <v>-400296</v>
          </cell>
          <cell r="AR1066" t="str">
            <v>11001</v>
          </cell>
        </row>
        <row r="1067">
          <cell r="A1067" t="str">
            <v>4305050400</v>
          </cell>
          <cell r="M1067">
            <v>-130597</v>
          </cell>
          <cell r="AR1067" t="str">
            <v>11001</v>
          </cell>
        </row>
        <row r="1068">
          <cell r="A1068" t="str">
            <v>4305050400</v>
          </cell>
          <cell r="M1068">
            <v>-263076</v>
          </cell>
          <cell r="AR1068" t="str">
            <v>11001</v>
          </cell>
        </row>
        <row r="1069">
          <cell r="A1069" t="str">
            <v>4305050400</v>
          </cell>
          <cell r="M1069">
            <v>-389867</v>
          </cell>
          <cell r="AR1069" t="str">
            <v>11001</v>
          </cell>
        </row>
        <row r="1070">
          <cell r="A1070" t="str">
            <v>4305050400</v>
          </cell>
          <cell r="M1070">
            <v>-107611</v>
          </cell>
          <cell r="AR1070" t="str">
            <v>11001</v>
          </cell>
        </row>
        <row r="1071">
          <cell r="A1071" t="str">
            <v>4305050400</v>
          </cell>
          <cell r="M1071">
            <v>-1251345</v>
          </cell>
          <cell r="AR1071" t="str">
            <v>11001</v>
          </cell>
        </row>
        <row r="1072">
          <cell r="A1072" t="str">
            <v>4305050400</v>
          </cell>
          <cell r="M1072">
            <v>-223242</v>
          </cell>
          <cell r="AR1072" t="str">
            <v>11001</v>
          </cell>
        </row>
        <row r="1073">
          <cell r="A1073" t="str">
            <v>4305050400</v>
          </cell>
          <cell r="M1073">
            <v>-80894</v>
          </cell>
          <cell r="AR1073" t="str">
            <v>11001</v>
          </cell>
        </row>
        <row r="1074">
          <cell r="A1074" t="str">
            <v>4305050400</v>
          </cell>
          <cell r="M1074">
            <v>-2703404</v>
          </cell>
          <cell r="AR1074" t="str">
            <v>11001</v>
          </cell>
        </row>
        <row r="1075">
          <cell r="A1075" t="str">
            <v>4305050400</v>
          </cell>
          <cell r="M1075">
            <v>-500289</v>
          </cell>
          <cell r="AR1075" t="str">
            <v>11001</v>
          </cell>
        </row>
        <row r="1076">
          <cell r="A1076" t="str">
            <v>4305050400</v>
          </cell>
          <cell r="M1076">
            <v>-229207</v>
          </cell>
          <cell r="AR1076" t="str">
            <v>11001</v>
          </cell>
        </row>
        <row r="1077">
          <cell r="A1077" t="str">
            <v>4305050400</v>
          </cell>
          <cell r="M1077">
            <v>-476568</v>
          </cell>
          <cell r="AR1077" t="str">
            <v>11001</v>
          </cell>
        </row>
        <row r="1078">
          <cell r="A1078" t="str">
            <v>4305050400</v>
          </cell>
          <cell r="M1078">
            <v>-483786</v>
          </cell>
          <cell r="AR1078" t="str">
            <v>11001</v>
          </cell>
        </row>
        <row r="1079">
          <cell r="A1079" t="str">
            <v>4305050400</v>
          </cell>
          <cell r="M1079">
            <v>-93631</v>
          </cell>
          <cell r="AR1079" t="str">
            <v>11001</v>
          </cell>
        </row>
        <row r="1080">
          <cell r="A1080" t="str">
            <v>4305050400</v>
          </cell>
          <cell r="M1080">
            <v>-139907</v>
          </cell>
          <cell r="AR1080" t="str">
            <v>11001</v>
          </cell>
        </row>
        <row r="1081">
          <cell r="A1081" t="str">
            <v>4305050400</v>
          </cell>
          <cell r="M1081">
            <v>-28172</v>
          </cell>
          <cell r="AR1081" t="str">
            <v>11001</v>
          </cell>
        </row>
        <row r="1082">
          <cell r="A1082" t="str">
            <v>4305050400</v>
          </cell>
          <cell r="M1082">
            <v>-171764</v>
          </cell>
          <cell r="AR1082" t="str">
            <v>11001</v>
          </cell>
        </row>
        <row r="1083">
          <cell r="A1083" t="str">
            <v>4305050400</v>
          </cell>
          <cell r="M1083">
            <v>-151792</v>
          </cell>
          <cell r="AR1083" t="str">
            <v>11001</v>
          </cell>
        </row>
        <row r="1084">
          <cell r="A1084" t="str">
            <v>4305050400</v>
          </cell>
          <cell r="M1084">
            <v>-48271</v>
          </cell>
          <cell r="AR1084" t="str">
            <v>11001</v>
          </cell>
        </row>
        <row r="1085">
          <cell r="A1085" t="str">
            <v>4305050400</v>
          </cell>
          <cell r="M1085">
            <v>-373048</v>
          </cell>
          <cell r="AR1085" t="str">
            <v>11001</v>
          </cell>
        </row>
        <row r="1086">
          <cell r="A1086" t="str">
            <v>4305050400</v>
          </cell>
          <cell r="M1086">
            <v>-7510</v>
          </cell>
          <cell r="AR1086" t="str">
            <v>11001</v>
          </cell>
        </row>
        <row r="1087">
          <cell r="A1087" t="str">
            <v>4305050400</v>
          </cell>
          <cell r="M1087">
            <v>-62611</v>
          </cell>
          <cell r="AR1087" t="str">
            <v>11001</v>
          </cell>
        </row>
        <row r="1088">
          <cell r="A1088" t="str">
            <v>4305050400</v>
          </cell>
          <cell r="M1088">
            <v>-298704</v>
          </cell>
          <cell r="AR1088" t="str">
            <v>11001</v>
          </cell>
        </row>
        <row r="1089">
          <cell r="A1089" t="str">
            <v>4305050400</v>
          </cell>
          <cell r="M1089">
            <v>-558234</v>
          </cell>
          <cell r="AR1089" t="str">
            <v>11001</v>
          </cell>
        </row>
        <row r="1090">
          <cell r="A1090" t="str">
            <v>4305050400</v>
          </cell>
          <cell r="M1090">
            <v>-57868</v>
          </cell>
          <cell r="AR1090" t="str">
            <v>11001</v>
          </cell>
        </row>
        <row r="1091">
          <cell r="A1091" t="str">
            <v>4305050400</v>
          </cell>
          <cell r="M1091">
            <v>-483786</v>
          </cell>
          <cell r="AR1091" t="str">
            <v>11001</v>
          </cell>
        </row>
        <row r="1092">
          <cell r="A1092" t="str">
            <v>4305050400</v>
          </cell>
          <cell r="M1092">
            <v>-114043</v>
          </cell>
          <cell r="AR1092" t="str">
            <v>11001</v>
          </cell>
        </row>
        <row r="1093">
          <cell r="A1093" t="str">
            <v>4305050400</v>
          </cell>
          <cell r="M1093">
            <v>-495727</v>
          </cell>
          <cell r="AR1093" t="str">
            <v>11001</v>
          </cell>
        </row>
        <row r="1094">
          <cell r="A1094" t="str">
            <v>4305050400</v>
          </cell>
          <cell r="M1094">
            <v>-148836</v>
          </cell>
          <cell r="AR1094" t="str">
            <v>11001</v>
          </cell>
        </row>
        <row r="1095">
          <cell r="A1095" t="str">
            <v>4305050400</v>
          </cell>
          <cell r="M1095">
            <v>-645718</v>
          </cell>
          <cell r="AR1095" t="str">
            <v>11001</v>
          </cell>
        </row>
        <row r="1096">
          <cell r="A1096" t="str">
            <v>4305050400</v>
          </cell>
          <cell r="M1096">
            <v>-112644</v>
          </cell>
          <cell r="AR1096" t="str">
            <v>11001</v>
          </cell>
        </row>
        <row r="1097">
          <cell r="A1097" t="str">
            <v>4305050400</v>
          </cell>
          <cell r="M1097">
            <v>-495738</v>
          </cell>
          <cell r="AR1097" t="str">
            <v>11001</v>
          </cell>
        </row>
        <row r="1098">
          <cell r="A1098" t="str">
            <v>4305050400</v>
          </cell>
          <cell r="M1098">
            <v>-120610</v>
          </cell>
          <cell r="AR1098" t="str">
            <v>11001</v>
          </cell>
        </row>
        <row r="1099">
          <cell r="A1099" t="str">
            <v>4305050400</v>
          </cell>
          <cell r="M1099">
            <v>-141401</v>
          </cell>
          <cell r="AR1099" t="str">
            <v>11001</v>
          </cell>
        </row>
        <row r="1100">
          <cell r="A1100" t="str">
            <v>4305050400</v>
          </cell>
          <cell r="M1100">
            <v>-459577</v>
          </cell>
          <cell r="AR1100" t="str">
            <v>11001</v>
          </cell>
        </row>
        <row r="1101">
          <cell r="A1101" t="str">
            <v>4305050400</v>
          </cell>
          <cell r="M1101">
            <v>-53450</v>
          </cell>
          <cell r="AR1101" t="str">
            <v>11001</v>
          </cell>
        </row>
        <row r="1102">
          <cell r="A1102" t="str">
            <v>4305050400</v>
          </cell>
          <cell r="M1102">
            <v>-486820</v>
          </cell>
          <cell r="AR1102" t="str">
            <v>11001</v>
          </cell>
        </row>
        <row r="1103">
          <cell r="A1103" t="str">
            <v>4305050400</v>
          </cell>
          <cell r="M1103">
            <v>-387751</v>
          </cell>
          <cell r="AR1103" t="str">
            <v>11001</v>
          </cell>
        </row>
        <row r="1104">
          <cell r="A1104" t="str">
            <v>4305050400</v>
          </cell>
          <cell r="M1104">
            <v>-68010</v>
          </cell>
          <cell r="AR1104" t="str">
            <v>11001</v>
          </cell>
        </row>
        <row r="1105">
          <cell r="A1105" t="str">
            <v>4305050400</v>
          </cell>
          <cell r="M1105">
            <v>-429056</v>
          </cell>
          <cell r="AR1105" t="str">
            <v>11001</v>
          </cell>
        </row>
        <row r="1106">
          <cell r="A1106" t="str">
            <v>4305050400</v>
          </cell>
          <cell r="M1106">
            <v>-279995</v>
          </cell>
          <cell r="AR1106" t="str">
            <v>11001</v>
          </cell>
        </row>
        <row r="1107">
          <cell r="A1107" t="str">
            <v>4305050400</v>
          </cell>
          <cell r="M1107">
            <v>-667157</v>
          </cell>
          <cell r="AR1107" t="str">
            <v>11001</v>
          </cell>
        </row>
        <row r="1108">
          <cell r="A1108" t="str">
            <v>4305050400</v>
          </cell>
          <cell r="M1108">
            <v>-279707</v>
          </cell>
          <cell r="AR1108" t="str">
            <v>11001</v>
          </cell>
        </row>
        <row r="1109">
          <cell r="A1109" t="str">
            <v>4305050400</v>
          </cell>
          <cell r="M1109">
            <v>-86748</v>
          </cell>
          <cell r="AR1109" t="str">
            <v>11001</v>
          </cell>
        </row>
        <row r="1110">
          <cell r="A1110" t="str">
            <v>4305050400</v>
          </cell>
          <cell r="M1110">
            <v>-493356</v>
          </cell>
          <cell r="AR1110" t="str">
            <v>11001</v>
          </cell>
        </row>
        <row r="1111">
          <cell r="A1111" t="str">
            <v>4305050400</v>
          </cell>
          <cell r="M1111">
            <v>-497219</v>
          </cell>
          <cell r="AR1111" t="str">
            <v>11001</v>
          </cell>
        </row>
        <row r="1112">
          <cell r="A1112" t="str">
            <v>4305050400</v>
          </cell>
          <cell r="M1112">
            <v>-409505</v>
          </cell>
          <cell r="AR1112" t="str">
            <v>11001</v>
          </cell>
        </row>
        <row r="1113">
          <cell r="A1113" t="str">
            <v>4305050400</v>
          </cell>
          <cell r="M1113">
            <v>-2453693</v>
          </cell>
          <cell r="AR1113" t="str">
            <v>11001</v>
          </cell>
        </row>
        <row r="1114">
          <cell r="A1114" t="str">
            <v>4305050400</v>
          </cell>
          <cell r="M1114">
            <v>-735300</v>
          </cell>
          <cell r="AR1114" t="str">
            <v>11001</v>
          </cell>
        </row>
        <row r="1115">
          <cell r="A1115" t="str">
            <v>4305050400</v>
          </cell>
          <cell r="M1115">
            <v>-159516</v>
          </cell>
          <cell r="AR1115" t="str">
            <v>11001</v>
          </cell>
        </row>
        <row r="1116">
          <cell r="A1116" t="str">
            <v>4305050400</v>
          </cell>
          <cell r="M1116">
            <v>-40734</v>
          </cell>
          <cell r="AR1116" t="str">
            <v>11001</v>
          </cell>
        </row>
        <row r="1117">
          <cell r="A1117" t="str">
            <v>4305050400</v>
          </cell>
          <cell r="M1117">
            <v>-474821</v>
          </cell>
          <cell r="AR1117" t="str">
            <v>11001</v>
          </cell>
        </row>
        <row r="1118">
          <cell r="A1118" t="str">
            <v>4305050400</v>
          </cell>
          <cell r="M1118">
            <v>-88681</v>
          </cell>
          <cell r="AR1118" t="str">
            <v>11001</v>
          </cell>
        </row>
        <row r="1119">
          <cell r="A1119" t="str">
            <v>4305050400</v>
          </cell>
          <cell r="M1119">
            <v>-304493</v>
          </cell>
          <cell r="AR1119" t="str">
            <v>11001</v>
          </cell>
        </row>
        <row r="1120">
          <cell r="A1120" t="str">
            <v>4305050400</v>
          </cell>
          <cell r="M1120">
            <v>-141661</v>
          </cell>
          <cell r="AR1120" t="str">
            <v>11001</v>
          </cell>
        </row>
        <row r="1121">
          <cell r="A1121" t="str">
            <v>4305050400</v>
          </cell>
          <cell r="M1121">
            <v>-272456</v>
          </cell>
          <cell r="AR1121" t="str">
            <v>11001</v>
          </cell>
        </row>
        <row r="1122">
          <cell r="A1122" t="str">
            <v>4305050400</v>
          </cell>
          <cell r="M1122">
            <v>-204630</v>
          </cell>
          <cell r="AR1122" t="str">
            <v>11001</v>
          </cell>
        </row>
        <row r="1123">
          <cell r="A1123" t="str">
            <v>4305050400</v>
          </cell>
          <cell r="M1123">
            <v>-135731</v>
          </cell>
          <cell r="AR1123" t="str">
            <v>11001</v>
          </cell>
        </row>
        <row r="1124">
          <cell r="A1124" t="str">
            <v>4305050400</v>
          </cell>
          <cell r="M1124">
            <v>-170112</v>
          </cell>
          <cell r="AR1124" t="str">
            <v>11001</v>
          </cell>
        </row>
        <row r="1125">
          <cell r="A1125" t="str">
            <v>4305050400</v>
          </cell>
          <cell r="M1125">
            <v>-431282</v>
          </cell>
          <cell r="AR1125" t="str">
            <v>11001</v>
          </cell>
        </row>
        <row r="1126">
          <cell r="A1126" t="str">
            <v>4305050400</v>
          </cell>
          <cell r="M1126">
            <v>-171764</v>
          </cell>
          <cell r="AR1126" t="str">
            <v>11001</v>
          </cell>
        </row>
        <row r="1127">
          <cell r="A1127" t="str">
            <v>4305050400</v>
          </cell>
          <cell r="M1127">
            <v>-377355</v>
          </cell>
          <cell r="AR1127" t="str">
            <v>11001</v>
          </cell>
        </row>
        <row r="1128">
          <cell r="A1128" t="str">
            <v>4305050400</v>
          </cell>
          <cell r="M1128">
            <v>-76634</v>
          </cell>
          <cell r="AR1128" t="str">
            <v>11001</v>
          </cell>
        </row>
        <row r="1129">
          <cell r="A1129" t="str">
            <v>4305050400</v>
          </cell>
          <cell r="M1129">
            <v>-149848</v>
          </cell>
          <cell r="AR1129" t="str">
            <v>11001</v>
          </cell>
        </row>
        <row r="1130">
          <cell r="A1130" t="str">
            <v>4305050400</v>
          </cell>
          <cell r="M1130">
            <v>-67492</v>
          </cell>
          <cell r="AR1130" t="str">
            <v>11001</v>
          </cell>
        </row>
        <row r="1131">
          <cell r="A1131" t="str">
            <v>4305050400</v>
          </cell>
          <cell r="M1131">
            <v>-359806</v>
          </cell>
          <cell r="AR1131" t="str">
            <v>11001</v>
          </cell>
        </row>
        <row r="1132">
          <cell r="A1132" t="str">
            <v>4305050400</v>
          </cell>
          <cell r="M1132">
            <v>-141401</v>
          </cell>
          <cell r="AR1132" t="str">
            <v>11001</v>
          </cell>
        </row>
        <row r="1133">
          <cell r="A1133" t="str">
            <v>4305050400</v>
          </cell>
          <cell r="M1133">
            <v>-398295</v>
          </cell>
          <cell r="AR1133" t="str">
            <v>11001</v>
          </cell>
        </row>
        <row r="1134">
          <cell r="A1134" t="str">
            <v>4305050400</v>
          </cell>
          <cell r="M1134">
            <v>-317051</v>
          </cell>
          <cell r="AR1134" t="str">
            <v>11001</v>
          </cell>
        </row>
        <row r="1135">
          <cell r="A1135" t="str">
            <v>4305050400</v>
          </cell>
          <cell r="M1135">
            <v>-17971</v>
          </cell>
          <cell r="AR1135" t="str">
            <v>11001</v>
          </cell>
        </row>
        <row r="1136">
          <cell r="A1136" t="str">
            <v>4305050400</v>
          </cell>
          <cell r="M1136">
            <v>-314049</v>
          </cell>
          <cell r="AR1136" t="str">
            <v>11001</v>
          </cell>
        </row>
        <row r="1137">
          <cell r="A1137" t="str">
            <v>4305050400</v>
          </cell>
          <cell r="M1137">
            <v>-139304</v>
          </cell>
          <cell r="AR1137" t="str">
            <v>11001</v>
          </cell>
        </row>
        <row r="1138">
          <cell r="A1138" t="str">
            <v>4305050400</v>
          </cell>
          <cell r="M1138">
            <v>-123437</v>
          </cell>
          <cell r="AR1138" t="str">
            <v>11001</v>
          </cell>
        </row>
        <row r="1139">
          <cell r="A1139" t="str">
            <v>4305050400</v>
          </cell>
          <cell r="M1139">
            <v>-558234</v>
          </cell>
          <cell r="AR1139" t="str">
            <v>11001</v>
          </cell>
        </row>
        <row r="1140">
          <cell r="A1140" t="str">
            <v>4305050400</v>
          </cell>
          <cell r="M1140">
            <v>-83756</v>
          </cell>
          <cell r="AR1140" t="str">
            <v>11001</v>
          </cell>
        </row>
        <row r="1141">
          <cell r="A1141" t="str">
            <v>4305050400</v>
          </cell>
          <cell r="M1141">
            <v>-232002</v>
          </cell>
          <cell r="AR1141" t="str">
            <v>11001</v>
          </cell>
        </row>
        <row r="1142">
          <cell r="A1142" t="str">
            <v>4305050400</v>
          </cell>
          <cell r="M1142">
            <v>-101035</v>
          </cell>
          <cell r="AR1142" t="str">
            <v>11001</v>
          </cell>
        </row>
        <row r="1143">
          <cell r="A1143" t="str">
            <v>4305050400</v>
          </cell>
          <cell r="M1143">
            <v>-1271718</v>
          </cell>
          <cell r="AR1143" t="str">
            <v>11001</v>
          </cell>
        </row>
        <row r="1144">
          <cell r="A1144" t="str">
            <v>4305050400</v>
          </cell>
          <cell r="M1144">
            <v>-994252</v>
          </cell>
          <cell r="AR1144" t="str">
            <v>11001</v>
          </cell>
        </row>
        <row r="1145">
          <cell r="A1145" t="str">
            <v>4305050400</v>
          </cell>
          <cell r="M1145">
            <v>-35653</v>
          </cell>
          <cell r="AR1145" t="str">
            <v>11001</v>
          </cell>
        </row>
        <row r="1146">
          <cell r="A1146" t="str">
            <v>4305050400</v>
          </cell>
          <cell r="M1146">
            <v>-134733</v>
          </cell>
          <cell r="AR1146" t="str">
            <v>11001</v>
          </cell>
        </row>
        <row r="1147">
          <cell r="A1147" t="str">
            <v>4305050400</v>
          </cell>
          <cell r="M1147">
            <v>-436091</v>
          </cell>
          <cell r="AR1147" t="str">
            <v>11001</v>
          </cell>
        </row>
        <row r="1148">
          <cell r="A1148" t="str">
            <v>4305050400</v>
          </cell>
          <cell r="M1148">
            <v>-91418</v>
          </cell>
          <cell r="AR1148" t="str">
            <v>11001</v>
          </cell>
        </row>
        <row r="1149">
          <cell r="A1149" t="str">
            <v>4305050400</v>
          </cell>
          <cell r="M1149">
            <v>-444996</v>
          </cell>
          <cell r="AR1149" t="str">
            <v>11001</v>
          </cell>
        </row>
        <row r="1150">
          <cell r="A1150" t="str">
            <v>4305050400</v>
          </cell>
          <cell r="M1150">
            <v>-112836</v>
          </cell>
          <cell r="AR1150" t="str">
            <v>11001</v>
          </cell>
        </row>
        <row r="1151">
          <cell r="A1151" t="str">
            <v>4305050400</v>
          </cell>
          <cell r="M1151">
            <v>-73836</v>
          </cell>
          <cell r="AR1151" t="str">
            <v>11001</v>
          </cell>
        </row>
        <row r="1152">
          <cell r="A1152" t="str">
            <v>4305050400</v>
          </cell>
          <cell r="M1152">
            <v>-28041</v>
          </cell>
          <cell r="AR1152" t="str">
            <v>11001</v>
          </cell>
        </row>
        <row r="1153">
          <cell r="A1153" t="str">
            <v>4305050400</v>
          </cell>
          <cell r="M1153">
            <v>-96450</v>
          </cell>
          <cell r="AR1153" t="str">
            <v>11001</v>
          </cell>
        </row>
        <row r="1154">
          <cell r="A1154" t="str">
            <v>4305050400</v>
          </cell>
          <cell r="M1154">
            <v>-211393</v>
          </cell>
          <cell r="AR1154" t="str">
            <v>11001</v>
          </cell>
        </row>
        <row r="1155">
          <cell r="A1155" t="str">
            <v>4305050400</v>
          </cell>
          <cell r="M1155">
            <v>-368579</v>
          </cell>
          <cell r="AR1155" t="str">
            <v>11001</v>
          </cell>
        </row>
        <row r="1156">
          <cell r="A1156" t="str">
            <v>4305050400</v>
          </cell>
          <cell r="M1156">
            <v>-126909</v>
          </cell>
          <cell r="AR1156" t="str">
            <v>11001</v>
          </cell>
        </row>
        <row r="1157">
          <cell r="A1157" t="str">
            <v>4305050400</v>
          </cell>
          <cell r="M1157">
            <v>-481384</v>
          </cell>
          <cell r="AR1157" t="str">
            <v>11001</v>
          </cell>
        </row>
        <row r="1158">
          <cell r="A1158" t="str">
            <v>4305050400</v>
          </cell>
          <cell r="M1158">
            <v>-578053</v>
          </cell>
          <cell r="AR1158" t="str">
            <v>11001</v>
          </cell>
        </row>
        <row r="1159">
          <cell r="A1159" t="str">
            <v>4305050400</v>
          </cell>
          <cell r="M1159">
            <v>-35737</v>
          </cell>
          <cell r="AR1159" t="str">
            <v>11001</v>
          </cell>
        </row>
        <row r="1160">
          <cell r="A1160" t="str">
            <v>4305050400</v>
          </cell>
          <cell r="M1160">
            <v>-346824</v>
          </cell>
          <cell r="AR1160" t="str">
            <v>11001</v>
          </cell>
        </row>
        <row r="1161">
          <cell r="A1161" t="str">
            <v>4305050400</v>
          </cell>
          <cell r="M1161">
            <v>-150315</v>
          </cell>
          <cell r="AR1161" t="str">
            <v>11001</v>
          </cell>
        </row>
        <row r="1162">
          <cell r="A1162" t="str">
            <v>4305050400</v>
          </cell>
          <cell r="M1162">
            <v>-98513</v>
          </cell>
          <cell r="AR1162" t="str">
            <v>11001</v>
          </cell>
        </row>
        <row r="1163">
          <cell r="A1163" t="str">
            <v>4305050400</v>
          </cell>
          <cell r="M1163">
            <v>-67698</v>
          </cell>
          <cell r="AR1163" t="str">
            <v>11001</v>
          </cell>
        </row>
        <row r="1164">
          <cell r="A1164" t="str">
            <v>4305050400</v>
          </cell>
          <cell r="M1164">
            <v>-670511</v>
          </cell>
          <cell r="AR1164" t="str">
            <v>11001</v>
          </cell>
        </row>
        <row r="1165">
          <cell r="A1165" t="str">
            <v>4305050400</v>
          </cell>
          <cell r="M1165">
            <v>-139908</v>
          </cell>
          <cell r="AR1165" t="str">
            <v>11001</v>
          </cell>
        </row>
        <row r="1166">
          <cell r="A1166" t="str">
            <v>4305050400</v>
          </cell>
          <cell r="M1166">
            <v>-278703</v>
          </cell>
          <cell r="AR1166" t="str">
            <v>11001</v>
          </cell>
        </row>
        <row r="1167">
          <cell r="A1167" t="str">
            <v>4305050600</v>
          </cell>
          <cell r="M1167">
            <v>-14080387</v>
          </cell>
          <cell r="AR1167" t="str">
            <v>11001</v>
          </cell>
        </row>
        <row r="1168">
          <cell r="A1168" t="str">
            <v>4305050600</v>
          </cell>
          <cell r="M1168">
            <v>-4636147</v>
          </cell>
          <cell r="AR1168" t="str">
            <v>11001</v>
          </cell>
        </row>
        <row r="1169">
          <cell r="A1169" t="str">
            <v>4305050600</v>
          </cell>
          <cell r="M1169">
            <v>-8507692</v>
          </cell>
          <cell r="AR1169" t="str">
            <v>11001</v>
          </cell>
        </row>
        <row r="1170">
          <cell r="A1170" t="str">
            <v>4305050600</v>
          </cell>
          <cell r="M1170">
            <v>7667040</v>
          </cell>
          <cell r="AR1170" t="str">
            <v>11001</v>
          </cell>
        </row>
        <row r="1171">
          <cell r="A1171" t="str">
            <v>4305050600</v>
          </cell>
          <cell r="M1171">
            <v>-7427513</v>
          </cell>
          <cell r="AR1171" t="str">
            <v>11001</v>
          </cell>
        </row>
        <row r="1172">
          <cell r="A1172" t="str">
            <v>4305050600</v>
          </cell>
          <cell r="M1172">
            <v>-113</v>
          </cell>
          <cell r="AR1172" t="str">
            <v>11001</v>
          </cell>
        </row>
        <row r="1173">
          <cell r="A1173" t="str">
            <v>4305050600</v>
          </cell>
          <cell r="M1173">
            <v>-96176903</v>
          </cell>
          <cell r="AR1173" t="str">
            <v>11001</v>
          </cell>
        </row>
        <row r="1174">
          <cell r="A1174" t="str">
            <v>4305050600</v>
          </cell>
          <cell r="M1174">
            <v>-5589105</v>
          </cell>
          <cell r="AR1174" t="str">
            <v>11001</v>
          </cell>
        </row>
        <row r="1175">
          <cell r="A1175" t="str">
            <v>4305050600</v>
          </cell>
          <cell r="M1175">
            <v>-8114839</v>
          </cell>
          <cell r="AR1175" t="str">
            <v>11001</v>
          </cell>
        </row>
        <row r="1176">
          <cell r="A1176" t="str">
            <v>4305050600</v>
          </cell>
          <cell r="M1176">
            <v>-14406918</v>
          </cell>
          <cell r="AR1176" t="str">
            <v>11001</v>
          </cell>
        </row>
        <row r="1177">
          <cell r="A1177" t="str">
            <v>4305050600</v>
          </cell>
          <cell r="M1177">
            <v>-12692434</v>
          </cell>
          <cell r="AR1177" t="str">
            <v>11001</v>
          </cell>
        </row>
        <row r="1178">
          <cell r="A1178" t="str">
            <v>4305050600</v>
          </cell>
          <cell r="M1178">
            <v>-3108173</v>
          </cell>
          <cell r="AR1178" t="str">
            <v>11001</v>
          </cell>
        </row>
        <row r="1179">
          <cell r="A1179" t="str">
            <v>4305050600</v>
          </cell>
          <cell r="M1179">
            <v>-9997352</v>
          </cell>
          <cell r="AR1179" t="str">
            <v>11001</v>
          </cell>
        </row>
        <row r="1180">
          <cell r="A1180" t="str">
            <v>4305050600</v>
          </cell>
          <cell r="M1180">
            <v>-7667040</v>
          </cell>
          <cell r="AR1180" t="str">
            <v>11001</v>
          </cell>
        </row>
        <row r="1181">
          <cell r="A1181" t="str">
            <v>4305050600</v>
          </cell>
          <cell r="M1181">
            <v>-7473481</v>
          </cell>
          <cell r="AR1181" t="str">
            <v>11001</v>
          </cell>
        </row>
        <row r="1182">
          <cell r="A1182" t="str">
            <v>4305050600</v>
          </cell>
          <cell r="M1182">
            <v>-7667040</v>
          </cell>
          <cell r="AR1182" t="str">
            <v>11001</v>
          </cell>
        </row>
        <row r="1183">
          <cell r="A1183" t="str">
            <v>4305050600</v>
          </cell>
          <cell r="M1183">
            <v>-1022413</v>
          </cell>
          <cell r="AR1183" t="str">
            <v>11001</v>
          </cell>
        </row>
        <row r="1184">
          <cell r="A1184" t="str">
            <v>4305050600</v>
          </cell>
          <cell r="M1184">
            <v>-1153780</v>
          </cell>
          <cell r="AR1184" t="str">
            <v>11001</v>
          </cell>
        </row>
        <row r="1185">
          <cell r="A1185" t="str">
            <v>4305050600</v>
          </cell>
          <cell r="M1185">
            <v>18288071</v>
          </cell>
          <cell r="AR1185" t="str">
            <v>11001</v>
          </cell>
        </row>
        <row r="1186">
          <cell r="A1186" t="str">
            <v>4305050600</v>
          </cell>
          <cell r="M1186">
            <v>-1497317</v>
          </cell>
          <cell r="AR1186" t="str">
            <v>11001</v>
          </cell>
        </row>
        <row r="1187">
          <cell r="A1187" t="str">
            <v>4305050600</v>
          </cell>
          <cell r="M1187">
            <v>-20485013</v>
          </cell>
          <cell r="AR1187" t="str">
            <v>11001</v>
          </cell>
        </row>
        <row r="1188">
          <cell r="A1188" t="str">
            <v>4305050600</v>
          </cell>
          <cell r="M1188">
            <v>-31301104</v>
          </cell>
          <cell r="AR1188" t="str">
            <v>11001</v>
          </cell>
        </row>
        <row r="1189">
          <cell r="A1189" t="str">
            <v>4305050600</v>
          </cell>
          <cell r="M1189">
            <v>-10017065</v>
          </cell>
          <cell r="AR1189" t="str">
            <v>11001</v>
          </cell>
        </row>
        <row r="1190">
          <cell r="A1190" t="str">
            <v>4305050600</v>
          </cell>
          <cell r="M1190">
            <v>-35385588</v>
          </cell>
          <cell r="AR1190" t="str">
            <v>11001</v>
          </cell>
        </row>
        <row r="1191">
          <cell r="A1191" t="str">
            <v>4305050600</v>
          </cell>
          <cell r="M1191">
            <v>-11176567</v>
          </cell>
          <cell r="AR1191" t="str">
            <v>11001</v>
          </cell>
        </row>
        <row r="1192">
          <cell r="A1192" t="str">
            <v>4305050600</v>
          </cell>
          <cell r="M1192">
            <v>-18265626</v>
          </cell>
          <cell r="AR1192" t="str">
            <v>11001</v>
          </cell>
        </row>
        <row r="1193">
          <cell r="A1193" t="str">
            <v>4305050600</v>
          </cell>
          <cell r="M1193">
            <v>-4125799</v>
          </cell>
          <cell r="AR1193" t="str">
            <v>11001</v>
          </cell>
        </row>
        <row r="1194">
          <cell r="A1194" t="str">
            <v>4305050600</v>
          </cell>
          <cell r="M1194">
            <v>-119297579</v>
          </cell>
          <cell r="AR1194" t="str">
            <v>11001</v>
          </cell>
        </row>
        <row r="1195">
          <cell r="A1195" t="str">
            <v>4305050600</v>
          </cell>
          <cell r="M1195">
            <v>-8147140</v>
          </cell>
          <cell r="AR1195" t="str">
            <v>11001</v>
          </cell>
        </row>
        <row r="1196">
          <cell r="A1196" t="str">
            <v>4305050600</v>
          </cell>
          <cell r="M1196">
            <v>-1207253</v>
          </cell>
          <cell r="AR1196" t="str">
            <v>11001</v>
          </cell>
        </row>
        <row r="1197">
          <cell r="A1197" t="str">
            <v>4305050600</v>
          </cell>
          <cell r="M1197">
            <v>-6111047</v>
          </cell>
          <cell r="AR1197" t="str">
            <v>11001</v>
          </cell>
        </row>
        <row r="1198">
          <cell r="A1198" t="str">
            <v>4305050600</v>
          </cell>
          <cell r="M1198">
            <v>-7903899</v>
          </cell>
          <cell r="AR1198" t="str">
            <v>11001</v>
          </cell>
        </row>
        <row r="1199">
          <cell r="A1199" t="str">
            <v>4305050600</v>
          </cell>
          <cell r="M1199">
            <v>-18288071</v>
          </cell>
          <cell r="AR1199" t="str">
            <v>11001</v>
          </cell>
        </row>
        <row r="1200">
          <cell r="A1200" t="str">
            <v>4305050600</v>
          </cell>
          <cell r="M1200">
            <v>-4605122</v>
          </cell>
          <cell r="AR1200" t="str">
            <v>11001</v>
          </cell>
        </row>
        <row r="1201">
          <cell r="A1201" t="str">
            <v>4305050600</v>
          </cell>
          <cell r="M1201">
            <v>-10062207</v>
          </cell>
          <cell r="AR1201" t="str">
            <v>11001</v>
          </cell>
        </row>
        <row r="1202">
          <cell r="A1202" t="str">
            <v>4305050600</v>
          </cell>
          <cell r="M1202">
            <v>-20476275</v>
          </cell>
          <cell r="AR1202" t="str">
            <v>11001</v>
          </cell>
        </row>
        <row r="1203">
          <cell r="A1203" t="str">
            <v>4305050600</v>
          </cell>
          <cell r="M1203">
            <v>-1181521</v>
          </cell>
          <cell r="AR1203" t="str">
            <v>11001</v>
          </cell>
        </row>
        <row r="1204">
          <cell r="A1204" t="str">
            <v>4305050700</v>
          </cell>
          <cell r="M1204">
            <v>-3748006</v>
          </cell>
          <cell r="AR1204" t="str">
            <v>11001</v>
          </cell>
        </row>
        <row r="1205">
          <cell r="A1205" t="str">
            <v>4305050700</v>
          </cell>
          <cell r="M1205">
            <v>-10206069</v>
          </cell>
          <cell r="AR1205" t="str">
            <v>11001</v>
          </cell>
        </row>
        <row r="1206">
          <cell r="A1206" t="str">
            <v>4305050700</v>
          </cell>
          <cell r="M1206">
            <v>-9670530</v>
          </cell>
          <cell r="AR1206" t="str">
            <v>11001</v>
          </cell>
        </row>
        <row r="1207">
          <cell r="A1207" t="str">
            <v>4305050700</v>
          </cell>
          <cell r="M1207">
            <v>-52538026</v>
          </cell>
          <cell r="AR1207" t="str">
            <v>11001</v>
          </cell>
        </row>
        <row r="1208">
          <cell r="A1208" t="str">
            <v>4305050700</v>
          </cell>
          <cell r="M1208">
            <v>-74670814</v>
          </cell>
          <cell r="AR1208" t="str">
            <v>11001</v>
          </cell>
        </row>
        <row r="1209">
          <cell r="A1209" t="str">
            <v>4305050800</v>
          </cell>
          <cell r="M1209">
            <v>-61546046</v>
          </cell>
          <cell r="AR1209" t="str">
            <v>11001</v>
          </cell>
        </row>
        <row r="1210">
          <cell r="A1210" t="str">
            <v>4305050800</v>
          </cell>
          <cell r="M1210">
            <v>-61488886</v>
          </cell>
          <cell r="AR1210" t="str">
            <v>11001</v>
          </cell>
        </row>
        <row r="1211">
          <cell r="A1211" t="str">
            <v>4305050800</v>
          </cell>
          <cell r="M1211">
            <v>-225401466</v>
          </cell>
          <cell r="AR1211" t="str">
            <v>11001</v>
          </cell>
        </row>
        <row r="1212">
          <cell r="A1212" t="str">
            <v>4305050800</v>
          </cell>
          <cell r="M1212">
            <v>-143452704</v>
          </cell>
          <cell r="AR1212" t="str">
            <v>11001</v>
          </cell>
        </row>
        <row r="1213">
          <cell r="A1213" t="str">
            <v>4305050800</v>
          </cell>
          <cell r="M1213">
            <v>-102526773</v>
          </cell>
          <cell r="AR1213" t="str">
            <v>11001</v>
          </cell>
        </row>
        <row r="1214">
          <cell r="A1214" t="str">
            <v>4305050800</v>
          </cell>
          <cell r="M1214">
            <v>-280963134</v>
          </cell>
          <cell r="AR1214" t="str">
            <v>11001</v>
          </cell>
        </row>
        <row r="1215">
          <cell r="A1215" t="str">
            <v>4305050800</v>
          </cell>
          <cell r="M1215">
            <v>-20515003</v>
          </cell>
          <cell r="AR1215" t="str">
            <v>11001</v>
          </cell>
        </row>
        <row r="1216">
          <cell r="A1216" t="str">
            <v>4305050800</v>
          </cell>
          <cell r="M1216">
            <v>-327910236</v>
          </cell>
          <cell r="AR1216" t="str">
            <v>11001</v>
          </cell>
        </row>
        <row r="1217">
          <cell r="A1217" t="str">
            <v>4305050800</v>
          </cell>
          <cell r="M1217">
            <v>-205133603</v>
          </cell>
          <cell r="AR1217" t="str">
            <v>11001</v>
          </cell>
        </row>
        <row r="1218">
          <cell r="A1218" t="str">
            <v>4305050800</v>
          </cell>
          <cell r="M1218">
            <v>-123023151</v>
          </cell>
          <cell r="AR1218" t="str">
            <v>11001</v>
          </cell>
        </row>
        <row r="1219">
          <cell r="A1219" t="str">
            <v>4305050800</v>
          </cell>
          <cell r="M1219">
            <v>-380009452</v>
          </cell>
          <cell r="AR1219" t="str">
            <v>11001</v>
          </cell>
        </row>
        <row r="1220">
          <cell r="A1220" t="str">
            <v>4305050800</v>
          </cell>
          <cell r="M1220">
            <v>-993865168</v>
          </cell>
          <cell r="AR1220" t="str">
            <v>11001</v>
          </cell>
        </row>
        <row r="1221">
          <cell r="A1221" t="str">
            <v>4305050800</v>
          </cell>
          <cell r="M1221">
            <v>-102436346</v>
          </cell>
          <cell r="AR1221" t="str">
            <v>11001</v>
          </cell>
        </row>
        <row r="1222">
          <cell r="A1222" t="str">
            <v>4305050800</v>
          </cell>
          <cell r="M1222">
            <v>-61479096</v>
          </cell>
          <cell r="AR1222" t="str">
            <v>11001</v>
          </cell>
        </row>
        <row r="1223">
          <cell r="A1223" t="str">
            <v>4305051000</v>
          </cell>
          <cell r="M1223">
            <v>-17561046739</v>
          </cell>
          <cell r="AR1223" t="str">
            <v>11001</v>
          </cell>
        </row>
        <row r="1224">
          <cell r="A1224" t="str">
            <v>4305051000</v>
          </cell>
          <cell r="M1224">
            <v>12116964199</v>
          </cell>
          <cell r="AR1224" t="str">
            <v>11001</v>
          </cell>
        </row>
        <row r="1225">
          <cell r="A1225" t="str">
            <v>4305051500</v>
          </cell>
          <cell r="M1225">
            <v>-1416802</v>
          </cell>
          <cell r="AR1225" t="str">
            <v>11001</v>
          </cell>
        </row>
        <row r="1226">
          <cell r="A1226" t="str">
            <v>4305051500</v>
          </cell>
          <cell r="M1226">
            <v>-71939</v>
          </cell>
          <cell r="AR1226" t="str">
            <v>11001</v>
          </cell>
        </row>
        <row r="1227">
          <cell r="A1227" t="str">
            <v>4305051500</v>
          </cell>
          <cell r="M1227">
            <v>-669042</v>
          </cell>
          <cell r="AR1227" t="str">
            <v>11001</v>
          </cell>
        </row>
        <row r="1228">
          <cell r="A1228" t="str">
            <v>4305051500</v>
          </cell>
          <cell r="M1228">
            <v>-112735</v>
          </cell>
          <cell r="AR1228" t="str">
            <v>11001</v>
          </cell>
        </row>
        <row r="1229">
          <cell r="A1229" t="str">
            <v>4305051500</v>
          </cell>
          <cell r="M1229">
            <v>-450717</v>
          </cell>
          <cell r="AR1229" t="str">
            <v>11001</v>
          </cell>
        </row>
        <row r="1230">
          <cell r="A1230" t="str">
            <v>4305051500</v>
          </cell>
          <cell r="M1230">
            <v>-386218</v>
          </cell>
          <cell r="AR1230" t="str">
            <v>11001</v>
          </cell>
        </row>
        <row r="1231">
          <cell r="A1231" t="str">
            <v>4305051500</v>
          </cell>
          <cell r="M1231">
            <v>-1286781</v>
          </cell>
          <cell r="AR1231" t="str">
            <v>11001</v>
          </cell>
        </row>
        <row r="1232">
          <cell r="A1232" t="str">
            <v>4305051500</v>
          </cell>
          <cell r="M1232">
            <v>-96225</v>
          </cell>
          <cell r="AR1232" t="str">
            <v>11001</v>
          </cell>
        </row>
        <row r="1233">
          <cell r="A1233" t="str">
            <v>4305051500</v>
          </cell>
          <cell r="M1233">
            <v>-151307</v>
          </cell>
          <cell r="AR1233" t="str">
            <v>11001</v>
          </cell>
        </row>
        <row r="1234">
          <cell r="A1234" t="str">
            <v>4305051500</v>
          </cell>
          <cell r="M1234">
            <v>-230358</v>
          </cell>
          <cell r="AR1234" t="str">
            <v>11001</v>
          </cell>
        </row>
        <row r="1235">
          <cell r="A1235" t="str">
            <v>4305051500</v>
          </cell>
          <cell r="M1235">
            <v>-5181</v>
          </cell>
          <cell r="AR1235" t="str">
            <v>11001</v>
          </cell>
        </row>
        <row r="1236">
          <cell r="A1236" t="str">
            <v>4305051500</v>
          </cell>
          <cell r="M1236">
            <v>-93805</v>
          </cell>
          <cell r="AR1236" t="str">
            <v>11001</v>
          </cell>
        </row>
        <row r="1237">
          <cell r="A1237" t="str">
            <v>4305051500</v>
          </cell>
          <cell r="M1237">
            <v>-193602</v>
          </cell>
          <cell r="AR1237" t="str">
            <v>11001</v>
          </cell>
        </row>
        <row r="1238">
          <cell r="A1238" t="str">
            <v>4305051500</v>
          </cell>
          <cell r="M1238">
            <v>-768226</v>
          </cell>
          <cell r="AR1238" t="str">
            <v>11001</v>
          </cell>
        </row>
        <row r="1239">
          <cell r="A1239" t="str">
            <v>4305051500</v>
          </cell>
          <cell r="M1239">
            <v>-402751</v>
          </cell>
          <cell r="AR1239" t="str">
            <v>11001</v>
          </cell>
        </row>
        <row r="1240">
          <cell r="A1240" t="str">
            <v>4305051500</v>
          </cell>
          <cell r="M1240">
            <v>-143376</v>
          </cell>
          <cell r="AR1240" t="str">
            <v>11001</v>
          </cell>
        </row>
        <row r="1241">
          <cell r="A1241" t="str">
            <v>4305051500</v>
          </cell>
          <cell r="M1241">
            <v>-115839</v>
          </cell>
          <cell r="AR1241" t="str">
            <v>11001</v>
          </cell>
        </row>
        <row r="1242">
          <cell r="A1242" t="str">
            <v>4305051500</v>
          </cell>
          <cell r="M1242">
            <v>-158259</v>
          </cell>
          <cell r="AR1242" t="str">
            <v>11001</v>
          </cell>
        </row>
        <row r="1243">
          <cell r="A1243" t="str">
            <v>4305051500</v>
          </cell>
          <cell r="M1243">
            <v>-279773</v>
          </cell>
          <cell r="AR1243" t="str">
            <v>11001</v>
          </cell>
        </row>
        <row r="1244">
          <cell r="A1244" t="str">
            <v>4305051500</v>
          </cell>
          <cell r="M1244">
            <v>-130567</v>
          </cell>
          <cell r="AR1244" t="str">
            <v>11001</v>
          </cell>
        </row>
        <row r="1245">
          <cell r="A1245" t="str">
            <v>4305051500</v>
          </cell>
          <cell r="M1245">
            <v>-40412</v>
          </cell>
          <cell r="AR1245" t="str">
            <v>11001</v>
          </cell>
        </row>
        <row r="1246">
          <cell r="A1246" t="str">
            <v>4305051500</v>
          </cell>
          <cell r="M1246">
            <v>-395864</v>
          </cell>
          <cell r="AR1246" t="str">
            <v>11001</v>
          </cell>
        </row>
        <row r="1247">
          <cell r="A1247" t="str">
            <v>4305051500</v>
          </cell>
          <cell r="M1247">
            <v>-76550</v>
          </cell>
          <cell r="AR1247" t="str">
            <v>11001</v>
          </cell>
        </row>
        <row r="1248">
          <cell r="A1248" t="str">
            <v>4305051500</v>
          </cell>
          <cell r="M1248">
            <v>-1137861</v>
          </cell>
          <cell r="AR1248" t="str">
            <v>11001</v>
          </cell>
        </row>
        <row r="1249">
          <cell r="A1249" t="str">
            <v>4305051500</v>
          </cell>
          <cell r="M1249">
            <v>-137387</v>
          </cell>
          <cell r="AR1249" t="str">
            <v>11001</v>
          </cell>
        </row>
        <row r="1250">
          <cell r="A1250" t="str">
            <v>4305051500</v>
          </cell>
          <cell r="M1250">
            <v>-205000</v>
          </cell>
          <cell r="AR1250" t="str">
            <v>11001</v>
          </cell>
        </row>
        <row r="1251">
          <cell r="A1251" t="str">
            <v>4305051500</v>
          </cell>
          <cell r="M1251">
            <v>-191833</v>
          </cell>
          <cell r="AR1251" t="str">
            <v>11001</v>
          </cell>
        </row>
        <row r="1252">
          <cell r="A1252" t="str">
            <v>4305051500</v>
          </cell>
          <cell r="M1252">
            <v>-525615</v>
          </cell>
          <cell r="AR1252" t="str">
            <v>11001</v>
          </cell>
        </row>
        <row r="1253">
          <cell r="A1253" t="str">
            <v>4305051500</v>
          </cell>
          <cell r="M1253">
            <v>-73473</v>
          </cell>
          <cell r="AR1253" t="str">
            <v>11001</v>
          </cell>
        </row>
        <row r="1254">
          <cell r="A1254" t="str">
            <v>4305051500</v>
          </cell>
          <cell r="M1254">
            <v>-38966</v>
          </cell>
          <cell r="AR1254" t="str">
            <v>11001</v>
          </cell>
        </row>
        <row r="1255">
          <cell r="A1255" t="str">
            <v>4305051500</v>
          </cell>
          <cell r="M1255">
            <v>-447541</v>
          </cell>
          <cell r="AR1255" t="str">
            <v>11001</v>
          </cell>
        </row>
        <row r="1256">
          <cell r="A1256" t="str">
            <v>4305051500</v>
          </cell>
          <cell r="M1256">
            <v>-352039</v>
          </cell>
          <cell r="AR1256" t="str">
            <v>11001</v>
          </cell>
        </row>
        <row r="1257">
          <cell r="A1257" t="str">
            <v>4305051500</v>
          </cell>
          <cell r="M1257">
            <v>-202577</v>
          </cell>
          <cell r="AR1257" t="str">
            <v>11001</v>
          </cell>
        </row>
        <row r="1258">
          <cell r="A1258" t="str">
            <v>4305051500</v>
          </cell>
          <cell r="M1258">
            <v>-101608</v>
          </cell>
          <cell r="AR1258" t="str">
            <v>11001</v>
          </cell>
        </row>
        <row r="1259">
          <cell r="A1259" t="str">
            <v>4305051500</v>
          </cell>
          <cell r="M1259">
            <v>-152003</v>
          </cell>
          <cell r="AR1259" t="str">
            <v>11001</v>
          </cell>
        </row>
        <row r="1260">
          <cell r="A1260" t="str">
            <v>4305051500</v>
          </cell>
          <cell r="M1260">
            <v>-324475</v>
          </cell>
          <cell r="AR1260" t="str">
            <v>11001</v>
          </cell>
        </row>
        <row r="1261">
          <cell r="A1261" t="str">
            <v>4305051500</v>
          </cell>
          <cell r="M1261">
            <v>-133020</v>
          </cell>
          <cell r="AR1261" t="str">
            <v>11001</v>
          </cell>
        </row>
        <row r="1262">
          <cell r="A1262" t="str">
            <v>4305051500</v>
          </cell>
          <cell r="M1262">
            <v>-41493</v>
          </cell>
          <cell r="AR1262" t="str">
            <v>11001</v>
          </cell>
        </row>
        <row r="1263">
          <cell r="A1263" t="str">
            <v>4305051500</v>
          </cell>
          <cell r="M1263">
            <v>-301772</v>
          </cell>
          <cell r="AR1263" t="str">
            <v>11001</v>
          </cell>
        </row>
        <row r="1264">
          <cell r="A1264" t="str">
            <v>4305051500</v>
          </cell>
          <cell r="M1264">
            <v>-82016</v>
          </cell>
          <cell r="AR1264" t="str">
            <v>11001</v>
          </cell>
        </row>
        <row r="1265">
          <cell r="A1265" t="str">
            <v>4305051500</v>
          </cell>
          <cell r="M1265">
            <v>-147104</v>
          </cell>
          <cell r="AR1265" t="str">
            <v>11001</v>
          </cell>
        </row>
        <row r="1266">
          <cell r="A1266" t="str">
            <v>4305051500</v>
          </cell>
          <cell r="M1266">
            <v>-338148</v>
          </cell>
          <cell r="AR1266" t="str">
            <v>11001</v>
          </cell>
        </row>
        <row r="1267">
          <cell r="A1267" t="str">
            <v>4305051500</v>
          </cell>
          <cell r="M1267">
            <v>-83262</v>
          </cell>
          <cell r="AR1267" t="str">
            <v>11001</v>
          </cell>
        </row>
        <row r="1268">
          <cell r="A1268" t="str">
            <v>4305051500</v>
          </cell>
          <cell r="M1268">
            <v>-330524</v>
          </cell>
          <cell r="AR1268" t="str">
            <v>11001</v>
          </cell>
        </row>
        <row r="1269">
          <cell r="A1269" t="str">
            <v>4305051500</v>
          </cell>
          <cell r="M1269">
            <v>-38312</v>
          </cell>
          <cell r="AR1269" t="str">
            <v>11001</v>
          </cell>
        </row>
        <row r="1270">
          <cell r="A1270" t="str">
            <v>4305051500</v>
          </cell>
          <cell r="M1270">
            <v>-718881</v>
          </cell>
          <cell r="AR1270" t="str">
            <v>11001</v>
          </cell>
        </row>
        <row r="1271">
          <cell r="A1271" t="str">
            <v>4305051500</v>
          </cell>
          <cell r="M1271">
            <v>-200264</v>
          </cell>
          <cell r="AR1271" t="str">
            <v>11001</v>
          </cell>
        </row>
        <row r="1272">
          <cell r="A1272" t="str">
            <v>4305051500</v>
          </cell>
          <cell r="M1272">
            <v>-536714</v>
          </cell>
          <cell r="AR1272" t="str">
            <v>11001</v>
          </cell>
        </row>
        <row r="1273">
          <cell r="A1273" t="str">
            <v>4305051500</v>
          </cell>
          <cell r="M1273">
            <v>-243615</v>
          </cell>
          <cell r="AR1273" t="str">
            <v>11001</v>
          </cell>
        </row>
        <row r="1274">
          <cell r="A1274" t="str">
            <v>4305051500</v>
          </cell>
          <cell r="M1274">
            <v>-127390</v>
          </cell>
          <cell r="AR1274" t="str">
            <v>11001</v>
          </cell>
        </row>
        <row r="1275">
          <cell r="A1275" t="str">
            <v>4305051500</v>
          </cell>
          <cell r="M1275">
            <v>-755690</v>
          </cell>
          <cell r="AR1275" t="str">
            <v>11001</v>
          </cell>
        </row>
        <row r="1276">
          <cell r="A1276" t="str">
            <v>4305051500</v>
          </cell>
          <cell r="M1276">
            <v>-282873</v>
          </cell>
          <cell r="AR1276" t="str">
            <v>11001</v>
          </cell>
        </row>
        <row r="1277">
          <cell r="A1277" t="str">
            <v>4305051500</v>
          </cell>
          <cell r="M1277">
            <v>-315320</v>
          </cell>
          <cell r="AR1277" t="str">
            <v>11001</v>
          </cell>
        </row>
        <row r="1278">
          <cell r="A1278" t="str">
            <v>4305051500</v>
          </cell>
          <cell r="M1278">
            <v>-745963</v>
          </cell>
          <cell r="AR1278" t="str">
            <v>11001</v>
          </cell>
        </row>
        <row r="1279">
          <cell r="A1279" t="str">
            <v>4305051500</v>
          </cell>
          <cell r="M1279">
            <v>-1020111</v>
          </cell>
          <cell r="AR1279" t="str">
            <v>11001</v>
          </cell>
        </row>
        <row r="1280">
          <cell r="A1280" t="str">
            <v>4305051500</v>
          </cell>
          <cell r="M1280">
            <v>-479819</v>
          </cell>
          <cell r="AR1280" t="str">
            <v>11001</v>
          </cell>
        </row>
        <row r="1281">
          <cell r="A1281" t="str">
            <v>4305051500</v>
          </cell>
          <cell r="M1281">
            <v>-181</v>
          </cell>
          <cell r="AR1281" t="str">
            <v>11001</v>
          </cell>
        </row>
        <row r="1282">
          <cell r="A1282" t="str">
            <v>4305051500</v>
          </cell>
          <cell r="M1282">
            <v>-924721</v>
          </cell>
          <cell r="AR1282" t="str">
            <v>11001</v>
          </cell>
        </row>
        <row r="1283">
          <cell r="A1283" t="str">
            <v>4305051500</v>
          </cell>
          <cell r="M1283">
            <v>-647699</v>
          </cell>
          <cell r="AR1283" t="str">
            <v>11001</v>
          </cell>
        </row>
        <row r="1284">
          <cell r="A1284" t="str">
            <v>4305051500</v>
          </cell>
          <cell r="M1284">
            <v>-1203950</v>
          </cell>
          <cell r="AR1284" t="str">
            <v>11001</v>
          </cell>
        </row>
        <row r="1285">
          <cell r="A1285" t="str">
            <v>4305051500</v>
          </cell>
          <cell r="M1285">
            <v>-208878</v>
          </cell>
          <cell r="AR1285" t="str">
            <v>11001</v>
          </cell>
        </row>
        <row r="1286">
          <cell r="A1286" t="str">
            <v>4305051500</v>
          </cell>
          <cell r="M1286">
            <v>-710209</v>
          </cell>
          <cell r="AR1286" t="str">
            <v>11001</v>
          </cell>
        </row>
        <row r="1287">
          <cell r="A1287" t="str">
            <v>4305051500</v>
          </cell>
          <cell r="M1287">
            <v>-39765</v>
          </cell>
          <cell r="AR1287" t="str">
            <v>11001</v>
          </cell>
        </row>
        <row r="1288">
          <cell r="A1288" t="str">
            <v>4305051500</v>
          </cell>
          <cell r="M1288">
            <v>-37828</v>
          </cell>
          <cell r="AR1288" t="str">
            <v>11001</v>
          </cell>
        </row>
        <row r="1289">
          <cell r="A1289" t="str">
            <v>4305051500</v>
          </cell>
          <cell r="M1289">
            <v>-1625641</v>
          </cell>
          <cell r="AR1289" t="str">
            <v>11001</v>
          </cell>
        </row>
        <row r="1290">
          <cell r="A1290" t="str">
            <v>4305051500</v>
          </cell>
          <cell r="M1290">
            <v>-164268</v>
          </cell>
          <cell r="AR1290" t="str">
            <v>11001</v>
          </cell>
        </row>
        <row r="1291">
          <cell r="A1291" t="str">
            <v>4305051500</v>
          </cell>
          <cell r="M1291">
            <v>-188705</v>
          </cell>
          <cell r="AR1291" t="str">
            <v>11001</v>
          </cell>
        </row>
        <row r="1292">
          <cell r="A1292" t="str">
            <v>4305051500</v>
          </cell>
          <cell r="M1292">
            <v>-247380</v>
          </cell>
          <cell r="AR1292" t="str">
            <v>11001</v>
          </cell>
        </row>
        <row r="1293">
          <cell r="A1293" t="str">
            <v>4305051500</v>
          </cell>
          <cell r="M1293">
            <v>-43963</v>
          </cell>
          <cell r="AR1293" t="str">
            <v>11001</v>
          </cell>
        </row>
        <row r="1294">
          <cell r="A1294" t="str">
            <v>4305051500</v>
          </cell>
          <cell r="M1294">
            <v>-133081</v>
          </cell>
          <cell r="AR1294" t="str">
            <v>11001</v>
          </cell>
        </row>
        <row r="1295">
          <cell r="A1295" t="str">
            <v>4305051500</v>
          </cell>
          <cell r="M1295">
            <v>-7884</v>
          </cell>
          <cell r="AR1295" t="str">
            <v>11001</v>
          </cell>
        </row>
        <row r="1296">
          <cell r="A1296" t="str">
            <v>4305051500</v>
          </cell>
          <cell r="M1296">
            <v>-130215</v>
          </cell>
          <cell r="AR1296" t="str">
            <v>11001</v>
          </cell>
        </row>
        <row r="1297">
          <cell r="A1297" t="str">
            <v>4305051500</v>
          </cell>
          <cell r="M1297">
            <v>-72319</v>
          </cell>
          <cell r="AR1297" t="str">
            <v>11001</v>
          </cell>
        </row>
        <row r="1298">
          <cell r="A1298" t="str">
            <v>4305051500</v>
          </cell>
          <cell r="M1298">
            <v>-150875</v>
          </cell>
          <cell r="AR1298" t="str">
            <v>11001</v>
          </cell>
        </row>
        <row r="1299">
          <cell r="A1299" t="str">
            <v>4305051500</v>
          </cell>
          <cell r="M1299">
            <v>-23357</v>
          </cell>
          <cell r="AR1299" t="str">
            <v>11001</v>
          </cell>
        </row>
        <row r="1300">
          <cell r="A1300" t="str">
            <v>4305051500</v>
          </cell>
          <cell r="M1300">
            <v>-434000</v>
          </cell>
          <cell r="AR1300" t="str">
            <v>11001</v>
          </cell>
        </row>
        <row r="1301">
          <cell r="A1301" t="str">
            <v>4305051500</v>
          </cell>
          <cell r="M1301">
            <v>-152003</v>
          </cell>
          <cell r="AR1301" t="str">
            <v>11001</v>
          </cell>
        </row>
        <row r="1302">
          <cell r="A1302" t="str">
            <v>4305051500</v>
          </cell>
          <cell r="M1302">
            <v>-570840</v>
          </cell>
          <cell r="AR1302" t="str">
            <v>11001</v>
          </cell>
        </row>
        <row r="1303">
          <cell r="A1303" t="str">
            <v>4305051500</v>
          </cell>
          <cell r="M1303">
            <v>-13834</v>
          </cell>
          <cell r="AR1303" t="str">
            <v>11001</v>
          </cell>
        </row>
        <row r="1304">
          <cell r="A1304" t="str">
            <v>4305051500</v>
          </cell>
          <cell r="M1304">
            <v>-699982</v>
          </cell>
          <cell r="AR1304" t="str">
            <v>11001</v>
          </cell>
        </row>
        <row r="1305">
          <cell r="A1305" t="str">
            <v>4305051500</v>
          </cell>
          <cell r="M1305">
            <v>-134626</v>
          </cell>
          <cell r="AR1305" t="str">
            <v>11001</v>
          </cell>
        </row>
        <row r="1306">
          <cell r="A1306" t="str">
            <v>4305051500</v>
          </cell>
          <cell r="M1306">
            <v>-113371</v>
          </cell>
          <cell r="AR1306" t="str">
            <v>11001</v>
          </cell>
        </row>
        <row r="1307">
          <cell r="A1307" t="str">
            <v>4305051500</v>
          </cell>
          <cell r="M1307">
            <v>-308237</v>
          </cell>
          <cell r="AR1307" t="str">
            <v>11001</v>
          </cell>
        </row>
        <row r="1308">
          <cell r="A1308" t="str">
            <v>4305051500</v>
          </cell>
          <cell r="M1308">
            <v>-821618</v>
          </cell>
          <cell r="AR1308" t="str">
            <v>11001</v>
          </cell>
        </row>
        <row r="1309">
          <cell r="A1309" t="str">
            <v>4305051500</v>
          </cell>
          <cell r="M1309">
            <v>-321892</v>
          </cell>
          <cell r="AR1309" t="str">
            <v>11001</v>
          </cell>
        </row>
        <row r="1310">
          <cell r="A1310" t="str">
            <v>4305051500</v>
          </cell>
          <cell r="M1310">
            <v>-36501</v>
          </cell>
          <cell r="AR1310" t="str">
            <v>11001</v>
          </cell>
        </row>
        <row r="1311">
          <cell r="A1311" t="str">
            <v>4305051500</v>
          </cell>
          <cell r="M1311">
            <v>-92412</v>
          </cell>
          <cell r="AR1311" t="str">
            <v>11001</v>
          </cell>
        </row>
        <row r="1312">
          <cell r="A1312" t="str">
            <v>4305051500</v>
          </cell>
          <cell r="M1312">
            <v>-534461</v>
          </cell>
          <cell r="AR1312" t="str">
            <v>11001</v>
          </cell>
        </row>
        <row r="1313">
          <cell r="A1313" t="str">
            <v>4305051500</v>
          </cell>
          <cell r="M1313">
            <v>-216237</v>
          </cell>
          <cell r="AR1313" t="str">
            <v>11001</v>
          </cell>
        </row>
        <row r="1314">
          <cell r="A1314" t="str">
            <v>4305051500</v>
          </cell>
          <cell r="M1314">
            <v>-297841</v>
          </cell>
          <cell r="AR1314" t="str">
            <v>11001</v>
          </cell>
        </row>
        <row r="1315">
          <cell r="A1315" t="str">
            <v>4305051500</v>
          </cell>
          <cell r="M1315">
            <v>-220551</v>
          </cell>
          <cell r="AR1315" t="str">
            <v>11001</v>
          </cell>
        </row>
        <row r="1316">
          <cell r="A1316" t="str">
            <v>4305051500</v>
          </cell>
          <cell r="M1316">
            <v>-355720</v>
          </cell>
          <cell r="AR1316" t="str">
            <v>11001</v>
          </cell>
        </row>
        <row r="1317">
          <cell r="A1317" t="str">
            <v>4305051500</v>
          </cell>
          <cell r="M1317">
            <v>-1379367</v>
          </cell>
          <cell r="AR1317" t="str">
            <v>11001</v>
          </cell>
        </row>
        <row r="1318">
          <cell r="A1318" t="str">
            <v>4305051500</v>
          </cell>
          <cell r="M1318">
            <v>-110288</v>
          </cell>
          <cell r="AR1318" t="str">
            <v>11001</v>
          </cell>
        </row>
        <row r="1319">
          <cell r="A1319" t="str">
            <v>4305051500</v>
          </cell>
          <cell r="M1319">
            <v>-438705</v>
          </cell>
          <cell r="AR1319" t="str">
            <v>11001</v>
          </cell>
        </row>
        <row r="1320">
          <cell r="A1320" t="str">
            <v>4305051500</v>
          </cell>
          <cell r="M1320">
            <v>-107153</v>
          </cell>
          <cell r="AR1320" t="str">
            <v>11001</v>
          </cell>
        </row>
        <row r="1321">
          <cell r="A1321" t="str">
            <v>4305051500</v>
          </cell>
          <cell r="M1321">
            <v>-168764</v>
          </cell>
          <cell r="AR1321" t="str">
            <v>11001</v>
          </cell>
        </row>
        <row r="1322">
          <cell r="A1322" t="str">
            <v>4305051500</v>
          </cell>
          <cell r="M1322">
            <v>-375589</v>
          </cell>
          <cell r="AR1322" t="str">
            <v>11001</v>
          </cell>
        </row>
        <row r="1323">
          <cell r="A1323" t="str">
            <v>4305051500</v>
          </cell>
          <cell r="M1323">
            <v>-3748153</v>
          </cell>
          <cell r="AR1323" t="str">
            <v>11001</v>
          </cell>
        </row>
        <row r="1324">
          <cell r="A1324" t="str">
            <v>4305051500</v>
          </cell>
          <cell r="M1324">
            <v>-430998</v>
          </cell>
          <cell r="AR1324" t="str">
            <v>11001</v>
          </cell>
        </row>
        <row r="1325">
          <cell r="A1325" t="str">
            <v>4305051500</v>
          </cell>
          <cell r="M1325">
            <v>-446297</v>
          </cell>
          <cell r="AR1325" t="str">
            <v>11001</v>
          </cell>
        </row>
        <row r="1326">
          <cell r="A1326" t="str">
            <v>4305051500</v>
          </cell>
          <cell r="M1326">
            <v>-868282</v>
          </cell>
          <cell r="AR1326" t="str">
            <v>11001</v>
          </cell>
        </row>
        <row r="1327">
          <cell r="A1327" t="str">
            <v>4305051500</v>
          </cell>
          <cell r="M1327">
            <v>-48064</v>
          </cell>
          <cell r="AR1327" t="str">
            <v>11001</v>
          </cell>
        </row>
        <row r="1328">
          <cell r="A1328" t="str">
            <v>4305051500</v>
          </cell>
          <cell r="M1328">
            <v>-409364</v>
          </cell>
          <cell r="AR1328" t="str">
            <v>11001</v>
          </cell>
        </row>
        <row r="1329">
          <cell r="A1329" t="str">
            <v>4305051500</v>
          </cell>
          <cell r="M1329">
            <v>-161674</v>
          </cell>
          <cell r="AR1329" t="str">
            <v>11001</v>
          </cell>
        </row>
        <row r="1330">
          <cell r="A1330" t="str">
            <v>4305051500</v>
          </cell>
          <cell r="M1330">
            <v>-114308</v>
          </cell>
          <cell r="AR1330" t="str">
            <v>11001</v>
          </cell>
        </row>
        <row r="1331">
          <cell r="A1331" t="str">
            <v>4305051500</v>
          </cell>
          <cell r="M1331">
            <v>-929027</v>
          </cell>
          <cell r="AR1331" t="str">
            <v>11001</v>
          </cell>
        </row>
        <row r="1332">
          <cell r="A1332" t="str">
            <v>4305051500</v>
          </cell>
          <cell r="M1332">
            <v>-72764</v>
          </cell>
          <cell r="AR1332" t="str">
            <v>11001</v>
          </cell>
        </row>
        <row r="1333">
          <cell r="A1333" t="str">
            <v>4305051500</v>
          </cell>
          <cell r="M1333">
            <v>-528852</v>
          </cell>
          <cell r="AR1333" t="str">
            <v>11001</v>
          </cell>
        </row>
        <row r="1334">
          <cell r="A1334" t="str">
            <v>4305051500</v>
          </cell>
          <cell r="M1334">
            <v>-755690</v>
          </cell>
          <cell r="AR1334" t="str">
            <v>11001</v>
          </cell>
        </row>
        <row r="1335">
          <cell r="A1335" t="str">
            <v>4305051500</v>
          </cell>
          <cell r="M1335">
            <v>-398077</v>
          </cell>
          <cell r="AR1335" t="str">
            <v>11001</v>
          </cell>
        </row>
        <row r="1336">
          <cell r="A1336" t="str">
            <v>4305051500</v>
          </cell>
          <cell r="M1336">
            <v>-568453</v>
          </cell>
          <cell r="AR1336" t="str">
            <v>11001</v>
          </cell>
        </row>
        <row r="1337">
          <cell r="A1337" t="str">
            <v>4305051500</v>
          </cell>
          <cell r="M1337">
            <v>-15768</v>
          </cell>
          <cell r="AR1337" t="str">
            <v>11001</v>
          </cell>
        </row>
        <row r="1338">
          <cell r="A1338" t="str">
            <v>4305051500</v>
          </cell>
          <cell r="M1338">
            <v>-2186042</v>
          </cell>
          <cell r="AR1338" t="str">
            <v>11001</v>
          </cell>
        </row>
        <row r="1339">
          <cell r="A1339" t="str">
            <v>4305051500</v>
          </cell>
          <cell r="M1339">
            <v>-706003</v>
          </cell>
          <cell r="AR1339" t="str">
            <v>11001</v>
          </cell>
        </row>
        <row r="1340">
          <cell r="A1340" t="str">
            <v>4305051500</v>
          </cell>
          <cell r="M1340">
            <v>-2931435</v>
          </cell>
          <cell r="AR1340" t="str">
            <v>11001</v>
          </cell>
        </row>
        <row r="1341">
          <cell r="A1341" t="str">
            <v>4305051500</v>
          </cell>
          <cell r="M1341">
            <v>-499174</v>
          </cell>
          <cell r="AR1341" t="str">
            <v>11001</v>
          </cell>
        </row>
        <row r="1342">
          <cell r="A1342" t="str">
            <v>4305051500</v>
          </cell>
          <cell r="M1342">
            <v>-40458</v>
          </cell>
          <cell r="AR1342" t="str">
            <v>11001</v>
          </cell>
        </row>
        <row r="1343">
          <cell r="A1343" t="str">
            <v>4305051500</v>
          </cell>
          <cell r="M1343">
            <v>-490727</v>
          </cell>
          <cell r="AR1343" t="str">
            <v>11001</v>
          </cell>
        </row>
        <row r="1344">
          <cell r="A1344" t="str">
            <v>4305051500</v>
          </cell>
          <cell r="M1344">
            <v>-243054</v>
          </cell>
          <cell r="AR1344" t="str">
            <v>11001</v>
          </cell>
        </row>
        <row r="1345">
          <cell r="A1345" t="str">
            <v>4305051500</v>
          </cell>
          <cell r="M1345">
            <v>-116272</v>
          </cell>
          <cell r="AR1345" t="str">
            <v>11001</v>
          </cell>
        </row>
        <row r="1346">
          <cell r="A1346" t="str">
            <v>4305051500</v>
          </cell>
          <cell r="M1346">
            <v>-84416</v>
          </cell>
          <cell r="AR1346" t="str">
            <v>11001</v>
          </cell>
        </row>
        <row r="1347">
          <cell r="A1347" t="str">
            <v>4305051500</v>
          </cell>
          <cell r="M1347">
            <v>-194674</v>
          </cell>
          <cell r="AR1347" t="str">
            <v>11001</v>
          </cell>
        </row>
        <row r="1348">
          <cell r="A1348" t="str">
            <v>4305051500</v>
          </cell>
          <cell r="M1348">
            <v>-269404</v>
          </cell>
          <cell r="AR1348" t="str">
            <v>11001</v>
          </cell>
        </row>
        <row r="1349">
          <cell r="A1349" t="str">
            <v>4305051500</v>
          </cell>
          <cell r="M1349">
            <v>-353550</v>
          </cell>
          <cell r="AR1349" t="str">
            <v>11001</v>
          </cell>
        </row>
        <row r="1350">
          <cell r="A1350" t="str">
            <v>4305051500</v>
          </cell>
          <cell r="M1350">
            <v>-163206</v>
          </cell>
          <cell r="AR1350" t="str">
            <v>11001</v>
          </cell>
        </row>
        <row r="1351">
          <cell r="A1351" t="str">
            <v>4305051500</v>
          </cell>
          <cell r="M1351">
            <v>-147042</v>
          </cell>
          <cell r="AR1351" t="str">
            <v>11001</v>
          </cell>
        </row>
        <row r="1352">
          <cell r="A1352" t="str">
            <v>4305051500</v>
          </cell>
          <cell r="M1352">
            <v>-178030</v>
          </cell>
          <cell r="AR1352" t="str">
            <v>11001</v>
          </cell>
        </row>
        <row r="1353">
          <cell r="A1353" t="str">
            <v>4305051500</v>
          </cell>
          <cell r="M1353">
            <v>-17515</v>
          </cell>
          <cell r="AR1353" t="str">
            <v>11001</v>
          </cell>
        </row>
        <row r="1354">
          <cell r="A1354" t="str">
            <v>4305051500</v>
          </cell>
          <cell r="M1354">
            <v>-218758</v>
          </cell>
          <cell r="AR1354" t="str">
            <v>11001</v>
          </cell>
        </row>
        <row r="1355">
          <cell r="A1355" t="str">
            <v>4305051500</v>
          </cell>
          <cell r="M1355">
            <v>-96670</v>
          </cell>
          <cell r="AR1355" t="str">
            <v>11001</v>
          </cell>
        </row>
        <row r="1356">
          <cell r="A1356" t="str">
            <v>4305051500</v>
          </cell>
          <cell r="M1356">
            <v>-34679</v>
          </cell>
          <cell r="AR1356" t="str">
            <v>11001</v>
          </cell>
        </row>
        <row r="1357">
          <cell r="A1357" t="str">
            <v>4305051500</v>
          </cell>
          <cell r="M1357">
            <v>-343619</v>
          </cell>
          <cell r="AR1357" t="str">
            <v>11001</v>
          </cell>
        </row>
        <row r="1358">
          <cell r="A1358" t="str">
            <v>4305051500</v>
          </cell>
          <cell r="M1358">
            <v>-120657</v>
          </cell>
          <cell r="AR1358" t="str">
            <v>11001</v>
          </cell>
        </row>
        <row r="1359">
          <cell r="A1359" t="str">
            <v>4305051500</v>
          </cell>
          <cell r="M1359">
            <v>-231957</v>
          </cell>
          <cell r="AR1359" t="str">
            <v>11001</v>
          </cell>
        </row>
        <row r="1360">
          <cell r="A1360" t="str">
            <v>4305051500</v>
          </cell>
          <cell r="M1360">
            <v>-173004</v>
          </cell>
          <cell r="AR1360" t="str">
            <v>11001</v>
          </cell>
        </row>
        <row r="1361">
          <cell r="A1361" t="str">
            <v>4305051500</v>
          </cell>
          <cell r="M1361">
            <v>-149308</v>
          </cell>
          <cell r="AR1361" t="str">
            <v>11001</v>
          </cell>
        </row>
        <row r="1362">
          <cell r="A1362" t="str">
            <v>4305051500</v>
          </cell>
          <cell r="M1362">
            <v>-57817</v>
          </cell>
          <cell r="AR1362" t="str">
            <v>11001</v>
          </cell>
        </row>
        <row r="1363">
          <cell r="A1363" t="str">
            <v>4305051500</v>
          </cell>
          <cell r="M1363">
            <v>-54027</v>
          </cell>
          <cell r="AR1363" t="str">
            <v>11001</v>
          </cell>
        </row>
        <row r="1364">
          <cell r="A1364" t="str">
            <v>4305051500</v>
          </cell>
          <cell r="M1364">
            <v>-16889</v>
          </cell>
          <cell r="AR1364" t="str">
            <v>11001</v>
          </cell>
        </row>
        <row r="1365">
          <cell r="A1365" t="str">
            <v>4305051500</v>
          </cell>
          <cell r="M1365">
            <v>-331754</v>
          </cell>
          <cell r="AR1365" t="str">
            <v>11001</v>
          </cell>
        </row>
        <row r="1366">
          <cell r="A1366" t="str">
            <v>4305051500</v>
          </cell>
          <cell r="M1366">
            <v>-800677</v>
          </cell>
          <cell r="AR1366" t="str">
            <v>11001</v>
          </cell>
        </row>
        <row r="1367">
          <cell r="A1367" t="str">
            <v>4305051500</v>
          </cell>
          <cell r="M1367">
            <v>-68398</v>
          </cell>
          <cell r="AR1367" t="str">
            <v>11001</v>
          </cell>
        </row>
        <row r="1368">
          <cell r="A1368" t="str">
            <v>4305051500</v>
          </cell>
          <cell r="M1368">
            <v>-77071</v>
          </cell>
          <cell r="AR1368" t="str">
            <v>11001</v>
          </cell>
        </row>
        <row r="1369">
          <cell r="A1369" t="str">
            <v>4305051500</v>
          </cell>
          <cell r="M1369">
            <v>-83099</v>
          </cell>
          <cell r="AR1369" t="str">
            <v>11001</v>
          </cell>
        </row>
        <row r="1370">
          <cell r="A1370" t="str">
            <v>4305051500</v>
          </cell>
          <cell r="M1370">
            <v>-292577</v>
          </cell>
          <cell r="AR1370" t="str">
            <v>11001</v>
          </cell>
        </row>
        <row r="1371">
          <cell r="A1371" t="str">
            <v>4305051500</v>
          </cell>
          <cell r="M1371">
            <v>-1025765</v>
          </cell>
          <cell r="AR1371" t="str">
            <v>11001</v>
          </cell>
        </row>
        <row r="1372">
          <cell r="A1372" t="str">
            <v>4305051500</v>
          </cell>
          <cell r="M1372">
            <v>-142353</v>
          </cell>
          <cell r="AR1372" t="str">
            <v>11001</v>
          </cell>
        </row>
        <row r="1373">
          <cell r="A1373" t="str">
            <v>4305051500</v>
          </cell>
          <cell r="M1373">
            <v>-177374</v>
          </cell>
          <cell r="AR1373" t="str">
            <v>11001</v>
          </cell>
        </row>
        <row r="1374">
          <cell r="A1374" t="str">
            <v>4305051500</v>
          </cell>
          <cell r="M1374">
            <v>-114733</v>
          </cell>
          <cell r="AR1374" t="str">
            <v>11001</v>
          </cell>
        </row>
        <row r="1375">
          <cell r="A1375" t="str">
            <v>4305051500</v>
          </cell>
          <cell r="M1375">
            <v>-24436</v>
          </cell>
          <cell r="AR1375" t="str">
            <v>11001</v>
          </cell>
        </row>
        <row r="1376">
          <cell r="A1376" t="str">
            <v>4305051500</v>
          </cell>
          <cell r="M1376">
            <v>-138381</v>
          </cell>
          <cell r="AR1376" t="str">
            <v>11001</v>
          </cell>
        </row>
        <row r="1377">
          <cell r="A1377" t="str">
            <v>4305051500</v>
          </cell>
          <cell r="M1377">
            <v>-118381</v>
          </cell>
          <cell r="AR1377" t="str">
            <v>11001</v>
          </cell>
        </row>
        <row r="1378">
          <cell r="A1378" t="str">
            <v>4305051500</v>
          </cell>
          <cell r="M1378">
            <v>-242288</v>
          </cell>
          <cell r="AR1378" t="str">
            <v>11001</v>
          </cell>
        </row>
        <row r="1379">
          <cell r="A1379" t="str">
            <v>4305051500</v>
          </cell>
          <cell r="M1379">
            <v>-84773</v>
          </cell>
          <cell r="AR1379" t="str">
            <v>11001</v>
          </cell>
        </row>
        <row r="1380">
          <cell r="A1380" t="str">
            <v>4305051500</v>
          </cell>
          <cell r="M1380">
            <v>-344656</v>
          </cell>
          <cell r="AR1380" t="str">
            <v>11001</v>
          </cell>
        </row>
        <row r="1381">
          <cell r="A1381" t="str">
            <v>4305051500</v>
          </cell>
          <cell r="M1381">
            <v>-144035</v>
          </cell>
          <cell r="AR1381" t="str">
            <v>11001</v>
          </cell>
        </row>
        <row r="1382">
          <cell r="A1382" t="str">
            <v>4305051500</v>
          </cell>
          <cell r="M1382">
            <v>-130936</v>
          </cell>
          <cell r="AR1382" t="str">
            <v>11001</v>
          </cell>
        </row>
        <row r="1383">
          <cell r="A1383" t="str">
            <v>4305051500</v>
          </cell>
          <cell r="M1383">
            <v>-105534</v>
          </cell>
          <cell r="AR1383" t="str">
            <v>11001</v>
          </cell>
        </row>
        <row r="1384">
          <cell r="A1384" t="str">
            <v>4305051500</v>
          </cell>
          <cell r="M1384">
            <v>-598200</v>
          </cell>
          <cell r="AR1384" t="str">
            <v>11001</v>
          </cell>
        </row>
        <row r="1385">
          <cell r="A1385" t="str">
            <v>4305051500</v>
          </cell>
          <cell r="M1385">
            <v>-387008</v>
          </cell>
          <cell r="AR1385" t="str">
            <v>11001</v>
          </cell>
        </row>
        <row r="1386">
          <cell r="A1386" t="str">
            <v>4305051500</v>
          </cell>
          <cell r="M1386">
            <v>-73382</v>
          </cell>
          <cell r="AR1386" t="str">
            <v>11001</v>
          </cell>
        </row>
        <row r="1387">
          <cell r="A1387" t="str">
            <v>4305051500</v>
          </cell>
          <cell r="M1387">
            <v>-314864</v>
          </cell>
          <cell r="AR1387" t="str">
            <v>11001</v>
          </cell>
        </row>
        <row r="1388">
          <cell r="A1388" t="str">
            <v>4305051500</v>
          </cell>
          <cell r="M1388">
            <v>-651264</v>
          </cell>
          <cell r="AR1388" t="str">
            <v>11001</v>
          </cell>
        </row>
        <row r="1389">
          <cell r="A1389" t="str">
            <v>4305051500</v>
          </cell>
          <cell r="M1389">
            <v>-1003906</v>
          </cell>
          <cell r="AR1389" t="str">
            <v>11001</v>
          </cell>
        </row>
        <row r="1390">
          <cell r="A1390" t="str">
            <v>4305051500</v>
          </cell>
          <cell r="M1390">
            <v>-213848</v>
          </cell>
          <cell r="AR1390" t="str">
            <v>11001</v>
          </cell>
        </row>
        <row r="1391">
          <cell r="A1391" t="str">
            <v>4305051500</v>
          </cell>
          <cell r="M1391">
            <v>-94732</v>
          </cell>
          <cell r="AR1391" t="str">
            <v>11001</v>
          </cell>
        </row>
        <row r="1392">
          <cell r="A1392" t="str">
            <v>4305051500</v>
          </cell>
          <cell r="M1392">
            <v>-33881</v>
          </cell>
          <cell r="AR1392" t="str">
            <v>11001</v>
          </cell>
        </row>
        <row r="1393">
          <cell r="A1393" t="str">
            <v>4305051500</v>
          </cell>
          <cell r="M1393">
            <v>-537016</v>
          </cell>
          <cell r="AR1393" t="str">
            <v>11001</v>
          </cell>
        </row>
        <row r="1394">
          <cell r="A1394" t="str">
            <v>4305051500</v>
          </cell>
          <cell r="M1394">
            <v>-43231</v>
          </cell>
          <cell r="AR1394" t="str">
            <v>11001</v>
          </cell>
        </row>
        <row r="1395">
          <cell r="A1395" t="str">
            <v>4305051500</v>
          </cell>
          <cell r="M1395">
            <v>-122972</v>
          </cell>
          <cell r="AR1395" t="str">
            <v>11001</v>
          </cell>
        </row>
        <row r="1396">
          <cell r="A1396" t="str">
            <v>4305051500</v>
          </cell>
          <cell r="M1396">
            <v>-23489</v>
          </cell>
          <cell r="AR1396" t="str">
            <v>11001</v>
          </cell>
        </row>
        <row r="1397">
          <cell r="A1397" t="str">
            <v>4305051500</v>
          </cell>
          <cell r="M1397">
            <v>-132517</v>
          </cell>
          <cell r="AR1397" t="str">
            <v>11001</v>
          </cell>
        </row>
        <row r="1398">
          <cell r="A1398" t="str">
            <v>4305051500</v>
          </cell>
          <cell r="M1398">
            <v>-538973</v>
          </cell>
          <cell r="AR1398" t="str">
            <v>11001</v>
          </cell>
        </row>
        <row r="1399">
          <cell r="A1399" t="str">
            <v>4305051500</v>
          </cell>
          <cell r="M1399">
            <v>-448924</v>
          </cell>
          <cell r="AR1399" t="str">
            <v>11001</v>
          </cell>
        </row>
        <row r="1400">
          <cell r="A1400" t="str">
            <v>4305051500</v>
          </cell>
          <cell r="M1400">
            <v>-418575</v>
          </cell>
          <cell r="AR1400" t="str">
            <v>11001</v>
          </cell>
        </row>
        <row r="1401">
          <cell r="A1401" t="str">
            <v>4305051500</v>
          </cell>
          <cell r="M1401">
            <v>-945167</v>
          </cell>
          <cell r="AR1401" t="str">
            <v>11001</v>
          </cell>
        </row>
        <row r="1402">
          <cell r="A1402" t="str">
            <v>4305051500</v>
          </cell>
          <cell r="M1402">
            <v>-100777</v>
          </cell>
          <cell r="AR1402" t="str">
            <v>11001</v>
          </cell>
        </row>
        <row r="1403">
          <cell r="A1403" t="str">
            <v>4305051500</v>
          </cell>
          <cell r="M1403">
            <v>-398234</v>
          </cell>
          <cell r="AR1403" t="str">
            <v>11001</v>
          </cell>
        </row>
        <row r="1404">
          <cell r="A1404" t="str">
            <v>4305051500</v>
          </cell>
          <cell r="M1404">
            <v>-381921</v>
          </cell>
          <cell r="AR1404" t="str">
            <v>11001</v>
          </cell>
        </row>
        <row r="1405">
          <cell r="A1405" t="str">
            <v>4305051500</v>
          </cell>
          <cell r="M1405">
            <v>-271713</v>
          </cell>
          <cell r="AR1405" t="str">
            <v>11001</v>
          </cell>
        </row>
        <row r="1406">
          <cell r="A1406" t="str">
            <v>4305051500</v>
          </cell>
          <cell r="M1406">
            <v>-471593</v>
          </cell>
          <cell r="AR1406" t="str">
            <v>11001</v>
          </cell>
        </row>
        <row r="1407">
          <cell r="A1407" t="str">
            <v>4305051500</v>
          </cell>
          <cell r="M1407">
            <v>-801958</v>
          </cell>
          <cell r="AR1407" t="str">
            <v>11001</v>
          </cell>
        </row>
        <row r="1408">
          <cell r="A1408" t="str">
            <v>4305051500</v>
          </cell>
          <cell r="M1408">
            <v>-212634</v>
          </cell>
          <cell r="AR1408" t="str">
            <v>11001</v>
          </cell>
        </row>
        <row r="1409">
          <cell r="A1409" t="str">
            <v>4305051500</v>
          </cell>
          <cell r="M1409">
            <v>-482457</v>
          </cell>
          <cell r="AR1409" t="str">
            <v>11001</v>
          </cell>
        </row>
        <row r="1410">
          <cell r="A1410" t="str">
            <v>4305051500</v>
          </cell>
          <cell r="M1410">
            <v>-315727</v>
          </cell>
          <cell r="AR1410" t="str">
            <v>11001</v>
          </cell>
        </row>
        <row r="1411">
          <cell r="A1411" t="str">
            <v>4305051500</v>
          </cell>
          <cell r="M1411">
            <v>-133075</v>
          </cell>
          <cell r="AR1411" t="str">
            <v>11001</v>
          </cell>
        </row>
        <row r="1412">
          <cell r="A1412" t="str">
            <v>4305051500</v>
          </cell>
          <cell r="M1412">
            <v>-774462</v>
          </cell>
          <cell r="AR1412" t="str">
            <v>11001</v>
          </cell>
        </row>
        <row r="1413">
          <cell r="A1413" t="str">
            <v>4305051500</v>
          </cell>
          <cell r="M1413">
            <v>-171738</v>
          </cell>
          <cell r="AR1413" t="str">
            <v>11001</v>
          </cell>
        </row>
        <row r="1414">
          <cell r="A1414" t="str">
            <v>4305051500</v>
          </cell>
          <cell r="M1414">
            <v>-243754</v>
          </cell>
          <cell r="AR1414" t="str">
            <v>11001</v>
          </cell>
        </row>
        <row r="1415">
          <cell r="A1415" t="str">
            <v>4305051500</v>
          </cell>
          <cell r="M1415">
            <v>-1404129</v>
          </cell>
          <cell r="AR1415" t="str">
            <v>11001</v>
          </cell>
        </row>
        <row r="1416">
          <cell r="A1416" t="str">
            <v>4305051500</v>
          </cell>
          <cell r="M1416">
            <v>-502576</v>
          </cell>
          <cell r="AR1416" t="str">
            <v>11001</v>
          </cell>
        </row>
        <row r="1417">
          <cell r="A1417" t="str">
            <v>4305051500</v>
          </cell>
          <cell r="M1417">
            <v>-956539</v>
          </cell>
          <cell r="AR1417" t="str">
            <v>11001</v>
          </cell>
        </row>
        <row r="1418">
          <cell r="A1418" t="str">
            <v>4305051500</v>
          </cell>
          <cell r="M1418">
            <v>-619631</v>
          </cell>
          <cell r="AR1418" t="str">
            <v>11001</v>
          </cell>
        </row>
        <row r="1419">
          <cell r="A1419" t="str">
            <v>4305051500</v>
          </cell>
          <cell r="M1419">
            <v>-39015</v>
          </cell>
          <cell r="AR1419" t="str">
            <v>11001</v>
          </cell>
        </row>
        <row r="1420">
          <cell r="A1420" t="str">
            <v>4305051500</v>
          </cell>
          <cell r="M1420">
            <v>-281359</v>
          </cell>
          <cell r="AR1420" t="str">
            <v>11001</v>
          </cell>
        </row>
        <row r="1421">
          <cell r="A1421" t="str">
            <v>4305051500</v>
          </cell>
          <cell r="M1421">
            <v>-398285</v>
          </cell>
          <cell r="AR1421" t="str">
            <v>11001</v>
          </cell>
        </row>
        <row r="1422">
          <cell r="A1422" t="str">
            <v>4305051500</v>
          </cell>
          <cell r="M1422">
            <v>-271391</v>
          </cell>
          <cell r="AR1422" t="str">
            <v>11001</v>
          </cell>
        </row>
        <row r="1423">
          <cell r="A1423" t="str">
            <v>4305051500</v>
          </cell>
          <cell r="M1423">
            <v>-64352</v>
          </cell>
          <cell r="AR1423" t="str">
            <v>11001</v>
          </cell>
        </row>
        <row r="1424">
          <cell r="A1424" t="str">
            <v>4305051500</v>
          </cell>
          <cell r="M1424">
            <v>-209697</v>
          </cell>
          <cell r="AR1424" t="str">
            <v>11001</v>
          </cell>
        </row>
        <row r="1425">
          <cell r="A1425" t="str">
            <v>4305051500</v>
          </cell>
          <cell r="M1425">
            <v>-102188</v>
          </cell>
          <cell r="AR1425" t="str">
            <v>11001</v>
          </cell>
        </row>
        <row r="1426">
          <cell r="A1426" t="str">
            <v>4305051500</v>
          </cell>
          <cell r="M1426">
            <v>-130679</v>
          </cell>
          <cell r="AR1426" t="str">
            <v>11001</v>
          </cell>
        </row>
        <row r="1427">
          <cell r="A1427" t="str">
            <v>4305051500</v>
          </cell>
          <cell r="M1427">
            <v>-347688</v>
          </cell>
          <cell r="AR1427" t="str">
            <v>11001</v>
          </cell>
        </row>
        <row r="1428">
          <cell r="A1428" t="str">
            <v>4305051500</v>
          </cell>
          <cell r="M1428">
            <v>-193382</v>
          </cell>
          <cell r="AR1428" t="str">
            <v>11001</v>
          </cell>
        </row>
        <row r="1429">
          <cell r="A1429" t="str">
            <v>4305051500</v>
          </cell>
          <cell r="M1429">
            <v>-61098</v>
          </cell>
          <cell r="AR1429" t="str">
            <v>11001</v>
          </cell>
        </row>
        <row r="1430">
          <cell r="A1430" t="str">
            <v>4305051500</v>
          </cell>
          <cell r="M1430">
            <v>-279305</v>
          </cell>
          <cell r="AR1430" t="str">
            <v>11001</v>
          </cell>
        </row>
        <row r="1431">
          <cell r="A1431" t="str">
            <v>4305051500</v>
          </cell>
          <cell r="M1431">
            <v>-126779</v>
          </cell>
          <cell r="AR1431" t="str">
            <v>11001</v>
          </cell>
        </row>
        <row r="1432">
          <cell r="A1432" t="str">
            <v>4305051500</v>
          </cell>
          <cell r="M1432">
            <v>-725317</v>
          </cell>
          <cell r="AR1432" t="str">
            <v>11001</v>
          </cell>
        </row>
        <row r="1433">
          <cell r="A1433" t="str">
            <v>4305051500</v>
          </cell>
          <cell r="M1433">
            <v>-397893</v>
          </cell>
          <cell r="AR1433" t="str">
            <v>11001</v>
          </cell>
        </row>
        <row r="1434">
          <cell r="A1434" t="str">
            <v>4305051500</v>
          </cell>
          <cell r="M1434">
            <v>-35688</v>
          </cell>
          <cell r="AR1434" t="str">
            <v>11001</v>
          </cell>
        </row>
        <row r="1435">
          <cell r="A1435" t="str">
            <v>4305051500</v>
          </cell>
          <cell r="M1435">
            <v>-67278</v>
          </cell>
          <cell r="AR1435" t="str">
            <v>11001</v>
          </cell>
        </row>
        <row r="1436">
          <cell r="A1436" t="str">
            <v>4305051500</v>
          </cell>
          <cell r="M1436">
            <v>-653044</v>
          </cell>
          <cell r="AR1436" t="str">
            <v>11001</v>
          </cell>
        </row>
        <row r="1437">
          <cell r="A1437" t="str">
            <v>4305051500</v>
          </cell>
          <cell r="M1437">
            <v>-5517237</v>
          </cell>
          <cell r="AR1437" t="str">
            <v>11001</v>
          </cell>
        </row>
        <row r="1438">
          <cell r="A1438" t="str">
            <v>4305051500</v>
          </cell>
          <cell r="M1438">
            <v>-129524</v>
          </cell>
          <cell r="AR1438" t="str">
            <v>11001</v>
          </cell>
        </row>
        <row r="1439">
          <cell r="A1439" t="str">
            <v>4305051500</v>
          </cell>
          <cell r="M1439">
            <v>-2291851</v>
          </cell>
          <cell r="AR1439" t="str">
            <v>11001</v>
          </cell>
        </row>
        <row r="1440">
          <cell r="A1440" t="str">
            <v>4305051500</v>
          </cell>
          <cell r="M1440">
            <v>-40799</v>
          </cell>
          <cell r="AR1440" t="str">
            <v>11001</v>
          </cell>
        </row>
        <row r="1441">
          <cell r="A1441" t="str">
            <v>4305051500</v>
          </cell>
          <cell r="M1441">
            <v>-816594</v>
          </cell>
          <cell r="AR1441" t="str">
            <v>11001</v>
          </cell>
        </row>
        <row r="1442">
          <cell r="A1442" t="str">
            <v>4305051500</v>
          </cell>
          <cell r="M1442">
            <v>-543050</v>
          </cell>
          <cell r="AR1442" t="str">
            <v>11001</v>
          </cell>
        </row>
        <row r="1443">
          <cell r="A1443" t="str">
            <v>4305051500</v>
          </cell>
          <cell r="M1443">
            <v>-126912</v>
          </cell>
          <cell r="AR1443" t="str">
            <v>11001</v>
          </cell>
        </row>
        <row r="1444">
          <cell r="A1444" t="str">
            <v>4305051500</v>
          </cell>
          <cell r="M1444">
            <v>-772406</v>
          </cell>
          <cell r="AR1444" t="str">
            <v>11001</v>
          </cell>
        </row>
        <row r="1445">
          <cell r="A1445" t="str">
            <v>4305051500</v>
          </cell>
          <cell r="M1445">
            <v>-522883</v>
          </cell>
          <cell r="AR1445" t="str">
            <v>11001</v>
          </cell>
        </row>
        <row r="1446">
          <cell r="A1446" t="str">
            <v>4305051500</v>
          </cell>
          <cell r="M1446">
            <v>-1882963</v>
          </cell>
          <cell r="AR1446" t="str">
            <v>11001</v>
          </cell>
        </row>
        <row r="1447">
          <cell r="A1447" t="str">
            <v>4305051500</v>
          </cell>
          <cell r="M1447">
            <v>-331231</v>
          </cell>
          <cell r="AR1447" t="str">
            <v>11001</v>
          </cell>
        </row>
        <row r="1448">
          <cell r="A1448" t="str">
            <v>4305051500</v>
          </cell>
          <cell r="M1448">
            <v>-584727</v>
          </cell>
          <cell r="AR1448" t="str">
            <v>11001</v>
          </cell>
        </row>
        <row r="1449">
          <cell r="A1449" t="str">
            <v>4305051500</v>
          </cell>
          <cell r="M1449">
            <v>-316340</v>
          </cell>
          <cell r="AR1449" t="str">
            <v>11001</v>
          </cell>
        </row>
        <row r="1450">
          <cell r="A1450" t="str">
            <v>4305051500</v>
          </cell>
          <cell r="M1450">
            <v>-111250</v>
          </cell>
          <cell r="AR1450" t="str">
            <v>11001</v>
          </cell>
        </row>
        <row r="1451">
          <cell r="A1451" t="str">
            <v>4305051500</v>
          </cell>
          <cell r="M1451">
            <v>-261960</v>
          </cell>
          <cell r="AR1451" t="str">
            <v>11001</v>
          </cell>
        </row>
        <row r="1452">
          <cell r="A1452" t="str">
            <v>4305051500</v>
          </cell>
          <cell r="M1452">
            <v>-341330</v>
          </cell>
          <cell r="AR1452" t="str">
            <v>11001</v>
          </cell>
        </row>
        <row r="1453">
          <cell r="A1453" t="str">
            <v>4305051500</v>
          </cell>
          <cell r="M1453">
            <v>-203955</v>
          </cell>
          <cell r="AR1453" t="str">
            <v>11001</v>
          </cell>
        </row>
        <row r="1454">
          <cell r="A1454" t="str">
            <v>4305051500</v>
          </cell>
          <cell r="M1454">
            <v>-319665</v>
          </cell>
          <cell r="AR1454" t="str">
            <v>11001</v>
          </cell>
        </row>
        <row r="1455">
          <cell r="A1455" t="str">
            <v>4305051500</v>
          </cell>
          <cell r="M1455">
            <v>-96224</v>
          </cell>
          <cell r="AR1455" t="str">
            <v>11001</v>
          </cell>
        </row>
        <row r="1456">
          <cell r="A1456" t="str">
            <v>4305051500</v>
          </cell>
          <cell r="M1456">
            <v>-29834</v>
          </cell>
          <cell r="AR1456" t="str">
            <v>11001</v>
          </cell>
        </row>
        <row r="1457">
          <cell r="A1457" t="str">
            <v>4305051500</v>
          </cell>
          <cell r="M1457">
            <v>-835993</v>
          </cell>
          <cell r="AR1457" t="str">
            <v>11001</v>
          </cell>
        </row>
        <row r="1458">
          <cell r="A1458" t="str">
            <v>4305051500</v>
          </cell>
          <cell r="M1458">
            <v>-229069</v>
          </cell>
          <cell r="AR1458" t="str">
            <v>11001</v>
          </cell>
        </row>
        <row r="1459">
          <cell r="A1459" t="str">
            <v>4305051500</v>
          </cell>
          <cell r="M1459">
            <v>-141175</v>
          </cell>
          <cell r="AR1459" t="str">
            <v>11001</v>
          </cell>
        </row>
        <row r="1460">
          <cell r="A1460" t="str">
            <v>4305051500</v>
          </cell>
          <cell r="M1460">
            <v>-28475</v>
          </cell>
          <cell r="AR1460" t="str">
            <v>11001</v>
          </cell>
        </row>
        <row r="1461">
          <cell r="A1461" t="str">
            <v>4305051500</v>
          </cell>
          <cell r="M1461">
            <v>-273093</v>
          </cell>
          <cell r="AR1461" t="str">
            <v>11001</v>
          </cell>
        </row>
        <row r="1462">
          <cell r="A1462" t="str">
            <v>4305051500</v>
          </cell>
          <cell r="M1462">
            <v>-124526</v>
          </cell>
          <cell r="AR1462" t="str">
            <v>11001</v>
          </cell>
        </row>
        <row r="1463">
          <cell r="A1463" t="str">
            <v>4305051500</v>
          </cell>
          <cell r="M1463">
            <v>-829395</v>
          </cell>
          <cell r="AR1463" t="str">
            <v>11001</v>
          </cell>
        </row>
        <row r="1464">
          <cell r="A1464" t="str">
            <v>4305051500</v>
          </cell>
          <cell r="M1464">
            <v>-164702</v>
          </cell>
          <cell r="AR1464" t="str">
            <v>11001</v>
          </cell>
        </row>
        <row r="1465">
          <cell r="A1465" t="str">
            <v>4305051500</v>
          </cell>
          <cell r="M1465">
            <v>-53447</v>
          </cell>
          <cell r="AR1465" t="str">
            <v>11001</v>
          </cell>
        </row>
        <row r="1466">
          <cell r="A1466" t="str">
            <v>4305051500</v>
          </cell>
          <cell r="M1466">
            <v>-105688</v>
          </cell>
          <cell r="AR1466" t="str">
            <v>11001</v>
          </cell>
        </row>
        <row r="1467">
          <cell r="A1467" t="str">
            <v>4305051500</v>
          </cell>
          <cell r="M1467">
            <v>-34390</v>
          </cell>
          <cell r="AR1467" t="str">
            <v>11001</v>
          </cell>
        </row>
        <row r="1468">
          <cell r="A1468" t="str">
            <v>4305051500</v>
          </cell>
          <cell r="M1468">
            <v>-32816</v>
          </cell>
          <cell r="AR1468" t="str">
            <v>11001</v>
          </cell>
        </row>
        <row r="1469">
          <cell r="A1469" t="str">
            <v>4305051500</v>
          </cell>
          <cell r="M1469">
            <v>-133020</v>
          </cell>
          <cell r="AR1469" t="str">
            <v>11001</v>
          </cell>
        </row>
        <row r="1470">
          <cell r="A1470" t="str">
            <v>4305051500</v>
          </cell>
          <cell r="M1470">
            <v>-156629</v>
          </cell>
          <cell r="AR1470" t="str">
            <v>11001</v>
          </cell>
        </row>
        <row r="1471">
          <cell r="A1471" t="str">
            <v>4305051500</v>
          </cell>
          <cell r="M1471">
            <v>-539037</v>
          </cell>
          <cell r="AR1471" t="str">
            <v>11001</v>
          </cell>
        </row>
        <row r="1472">
          <cell r="A1472" t="str">
            <v>4305051500</v>
          </cell>
          <cell r="M1472">
            <v>-39871</v>
          </cell>
          <cell r="AR1472" t="str">
            <v>11001</v>
          </cell>
        </row>
        <row r="1473">
          <cell r="A1473" t="str">
            <v>4305051500</v>
          </cell>
          <cell r="M1473">
            <v>-79566</v>
          </cell>
          <cell r="AR1473" t="str">
            <v>11001</v>
          </cell>
        </row>
        <row r="1474">
          <cell r="A1474" t="str">
            <v>4305051500</v>
          </cell>
          <cell r="M1474">
            <v>-250754</v>
          </cell>
          <cell r="AR1474" t="str">
            <v>11001</v>
          </cell>
        </row>
        <row r="1475">
          <cell r="A1475" t="str">
            <v>4305051500</v>
          </cell>
          <cell r="M1475">
            <v>-756258</v>
          </cell>
          <cell r="AR1475" t="str">
            <v>11001</v>
          </cell>
        </row>
        <row r="1476">
          <cell r="A1476" t="str">
            <v>4305051500</v>
          </cell>
          <cell r="M1476">
            <v>-344387</v>
          </cell>
          <cell r="AR1476" t="str">
            <v>11001</v>
          </cell>
        </row>
        <row r="1477">
          <cell r="A1477" t="str">
            <v>4305051500</v>
          </cell>
          <cell r="M1477">
            <v>-32510</v>
          </cell>
          <cell r="AR1477" t="str">
            <v>11001</v>
          </cell>
        </row>
        <row r="1478">
          <cell r="A1478" t="str">
            <v>4305051500</v>
          </cell>
          <cell r="M1478">
            <v>-665149</v>
          </cell>
          <cell r="AR1478" t="str">
            <v>11001</v>
          </cell>
        </row>
        <row r="1479">
          <cell r="A1479" t="str">
            <v>4305051500</v>
          </cell>
          <cell r="M1479">
            <v>-304893</v>
          </cell>
          <cell r="AR1479" t="str">
            <v>11001</v>
          </cell>
        </row>
        <row r="1480">
          <cell r="A1480" t="str">
            <v>4305051500</v>
          </cell>
          <cell r="M1480">
            <v>-464462</v>
          </cell>
          <cell r="AR1480" t="str">
            <v>11001</v>
          </cell>
        </row>
        <row r="1481">
          <cell r="A1481" t="str">
            <v>4305051500</v>
          </cell>
          <cell r="M1481">
            <v>-354773</v>
          </cell>
          <cell r="AR1481" t="str">
            <v>11001</v>
          </cell>
        </row>
        <row r="1482">
          <cell r="A1482" t="str">
            <v>4305051500</v>
          </cell>
          <cell r="M1482">
            <v>-73015</v>
          </cell>
          <cell r="AR1482" t="str">
            <v>11001</v>
          </cell>
        </row>
        <row r="1483">
          <cell r="A1483" t="str">
            <v>4305051500</v>
          </cell>
          <cell r="M1483">
            <v>-277531</v>
          </cell>
          <cell r="AR1483" t="str">
            <v>11001</v>
          </cell>
        </row>
        <row r="1484">
          <cell r="A1484" t="str">
            <v>4305051500</v>
          </cell>
          <cell r="M1484">
            <v>-264083</v>
          </cell>
          <cell r="AR1484" t="str">
            <v>11001</v>
          </cell>
        </row>
        <row r="1485">
          <cell r="A1485" t="str">
            <v>4305051500</v>
          </cell>
          <cell r="M1485">
            <v>-17317</v>
          </cell>
          <cell r="AR1485" t="str">
            <v>11001</v>
          </cell>
        </row>
        <row r="1486">
          <cell r="A1486" t="str">
            <v>4305051500</v>
          </cell>
          <cell r="M1486">
            <v>-1228121</v>
          </cell>
          <cell r="AR1486" t="str">
            <v>11001</v>
          </cell>
        </row>
        <row r="1487">
          <cell r="A1487" t="str">
            <v>4305051500</v>
          </cell>
          <cell r="M1487">
            <v>-219670</v>
          </cell>
          <cell r="AR1487" t="str">
            <v>11001</v>
          </cell>
        </row>
        <row r="1488">
          <cell r="A1488" t="str">
            <v>4305051500</v>
          </cell>
          <cell r="M1488">
            <v>-128239</v>
          </cell>
          <cell r="AR1488" t="str">
            <v>11001</v>
          </cell>
        </row>
        <row r="1489">
          <cell r="A1489" t="str">
            <v>4305051500</v>
          </cell>
          <cell r="M1489">
            <v>-405203</v>
          </cell>
          <cell r="AR1489" t="str">
            <v>11001</v>
          </cell>
        </row>
        <row r="1490">
          <cell r="A1490" t="str">
            <v>4305051500</v>
          </cell>
          <cell r="M1490">
            <v>-1332462</v>
          </cell>
          <cell r="AR1490" t="str">
            <v>11001</v>
          </cell>
        </row>
        <row r="1491">
          <cell r="A1491" t="str">
            <v>4305051500</v>
          </cell>
          <cell r="M1491">
            <v>-215840</v>
          </cell>
          <cell r="AR1491" t="str">
            <v>11001</v>
          </cell>
        </row>
        <row r="1492">
          <cell r="A1492" t="str">
            <v>4305051500</v>
          </cell>
          <cell r="M1492">
            <v>-43538</v>
          </cell>
          <cell r="AR1492" t="str">
            <v>11001</v>
          </cell>
        </row>
        <row r="1493">
          <cell r="A1493" t="str">
            <v>4305051500</v>
          </cell>
          <cell r="M1493">
            <v>-59906</v>
          </cell>
          <cell r="AR1493" t="str">
            <v>11001</v>
          </cell>
        </row>
        <row r="1494">
          <cell r="A1494" t="str">
            <v>4305051500</v>
          </cell>
          <cell r="M1494">
            <v>-287584</v>
          </cell>
          <cell r="AR1494" t="str">
            <v>11001</v>
          </cell>
        </row>
        <row r="1495">
          <cell r="A1495" t="str">
            <v>4305051500</v>
          </cell>
          <cell r="M1495">
            <v>-39477</v>
          </cell>
          <cell r="AR1495" t="str">
            <v>11001</v>
          </cell>
        </row>
        <row r="1496">
          <cell r="A1496" t="str">
            <v>4305051500</v>
          </cell>
          <cell r="M1496">
            <v>-82909</v>
          </cell>
          <cell r="AR1496" t="str">
            <v>11001</v>
          </cell>
        </row>
        <row r="1497">
          <cell r="A1497" t="str">
            <v>4305051500</v>
          </cell>
          <cell r="M1497">
            <v>-354973</v>
          </cell>
          <cell r="AR1497" t="str">
            <v>11001</v>
          </cell>
        </row>
        <row r="1498">
          <cell r="A1498" t="str">
            <v>4305051500</v>
          </cell>
          <cell r="M1498">
            <v>-1752276</v>
          </cell>
          <cell r="AR1498" t="str">
            <v>11001</v>
          </cell>
        </row>
        <row r="1499">
          <cell r="A1499" t="str">
            <v>4305051500</v>
          </cell>
          <cell r="M1499">
            <v>-113775</v>
          </cell>
          <cell r="AR1499" t="str">
            <v>11001</v>
          </cell>
        </row>
        <row r="1500">
          <cell r="A1500" t="str">
            <v>4305051500</v>
          </cell>
          <cell r="M1500">
            <v>-32613</v>
          </cell>
          <cell r="AR1500" t="str">
            <v>11001</v>
          </cell>
        </row>
        <row r="1501">
          <cell r="A1501" t="str">
            <v>4305051500</v>
          </cell>
          <cell r="M1501">
            <v>-398458</v>
          </cell>
          <cell r="AR1501" t="str">
            <v>11001</v>
          </cell>
        </row>
        <row r="1502">
          <cell r="A1502" t="str">
            <v>4305051500</v>
          </cell>
          <cell r="M1502">
            <v>-88760</v>
          </cell>
          <cell r="AR1502" t="str">
            <v>11001</v>
          </cell>
        </row>
        <row r="1503">
          <cell r="A1503" t="str">
            <v>4305051500</v>
          </cell>
          <cell r="M1503">
            <v>-79316</v>
          </cell>
          <cell r="AR1503" t="str">
            <v>11001</v>
          </cell>
        </row>
        <row r="1504">
          <cell r="A1504" t="str">
            <v>4305051500</v>
          </cell>
          <cell r="M1504">
            <v>-70069</v>
          </cell>
          <cell r="AR1504" t="str">
            <v>11001</v>
          </cell>
        </row>
        <row r="1505">
          <cell r="A1505" t="str">
            <v>4305051500</v>
          </cell>
          <cell r="M1505">
            <v>-440156</v>
          </cell>
          <cell r="AR1505" t="str">
            <v>11001</v>
          </cell>
        </row>
        <row r="1506">
          <cell r="A1506" t="str">
            <v>4305051500</v>
          </cell>
          <cell r="M1506">
            <v>-14984</v>
          </cell>
          <cell r="AR1506" t="str">
            <v>11001</v>
          </cell>
        </row>
        <row r="1507">
          <cell r="A1507" t="str">
            <v>4305051500</v>
          </cell>
          <cell r="M1507">
            <v>-240844</v>
          </cell>
          <cell r="AR1507" t="str">
            <v>11001</v>
          </cell>
        </row>
        <row r="1508">
          <cell r="A1508" t="str">
            <v>4305051500</v>
          </cell>
          <cell r="M1508">
            <v>-1694949</v>
          </cell>
          <cell r="AR1508" t="str">
            <v>11001</v>
          </cell>
        </row>
        <row r="1509">
          <cell r="A1509" t="str">
            <v>4305051500</v>
          </cell>
          <cell r="M1509">
            <v>-107478</v>
          </cell>
          <cell r="AR1509" t="str">
            <v>11001</v>
          </cell>
        </row>
        <row r="1510">
          <cell r="A1510" t="str">
            <v>4305051500</v>
          </cell>
          <cell r="M1510">
            <v>-1244475</v>
          </cell>
          <cell r="AR1510" t="str">
            <v>11001</v>
          </cell>
        </row>
        <row r="1511">
          <cell r="A1511" t="str">
            <v>4305051500</v>
          </cell>
          <cell r="M1511">
            <v>-952249</v>
          </cell>
          <cell r="AR1511" t="str">
            <v>11001</v>
          </cell>
        </row>
        <row r="1512">
          <cell r="A1512" t="str">
            <v>4305051500</v>
          </cell>
          <cell r="M1512">
            <v>-283844</v>
          </cell>
          <cell r="AR1512" t="str">
            <v>11001</v>
          </cell>
        </row>
        <row r="1513">
          <cell r="A1513" t="str">
            <v>4305051500</v>
          </cell>
          <cell r="M1513">
            <v>-273002</v>
          </cell>
          <cell r="AR1513" t="str">
            <v>11001</v>
          </cell>
        </row>
        <row r="1514">
          <cell r="A1514" t="str">
            <v>4305051500</v>
          </cell>
          <cell r="M1514">
            <v>-241461</v>
          </cell>
          <cell r="AR1514" t="str">
            <v>11001</v>
          </cell>
        </row>
        <row r="1515">
          <cell r="A1515" t="str">
            <v>4305051500</v>
          </cell>
          <cell r="M1515">
            <v>-160704</v>
          </cell>
          <cell r="AR1515" t="str">
            <v>11001</v>
          </cell>
        </row>
        <row r="1516">
          <cell r="A1516" t="str">
            <v>4305051500</v>
          </cell>
          <cell r="M1516">
            <v>-745743</v>
          </cell>
          <cell r="AR1516" t="str">
            <v>11001</v>
          </cell>
        </row>
        <row r="1517">
          <cell r="A1517" t="str">
            <v>4305051500</v>
          </cell>
          <cell r="M1517">
            <v>-660836</v>
          </cell>
          <cell r="AR1517" t="str">
            <v>11001</v>
          </cell>
        </row>
        <row r="1518">
          <cell r="A1518" t="str">
            <v>4305051500</v>
          </cell>
          <cell r="M1518">
            <v>-1286645</v>
          </cell>
          <cell r="AR1518" t="str">
            <v>11001</v>
          </cell>
        </row>
        <row r="1519">
          <cell r="A1519" t="str">
            <v>4305051500</v>
          </cell>
          <cell r="M1519">
            <v>-185746</v>
          </cell>
          <cell r="AR1519" t="str">
            <v>11001</v>
          </cell>
        </row>
        <row r="1520">
          <cell r="A1520" t="str">
            <v>4305051500</v>
          </cell>
          <cell r="M1520">
            <v>-398285</v>
          </cell>
          <cell r="AR1520" t="str">
            <v>11001</v>
          </cell>
        </row>
        <row r="1521">
          <cell r="A1521" t="str">
            <v>4305051500</v>
          </cell>
          <cell r="M1521">
            <v>-929027</v>
          </cell>
          <cell r="AR1521" t="str">
            <v>11001</v>
          </cell>
        </row>
        <row r="1522">
          <cell r="A1522" t="str">
            <v>4305051500</v>
          </cell>
          <cell r="M1522">
            <v>-136704</v>
          </cell>
          <cell r="AR1522" t="str">
            <v>11001</v>
          </cell>
        </row>
        <row r="1523">
          <cell r="A1523" t="str">
            <v>4305051500</v>
          </cell>
          <cell r="M1523">
            <v>-774029</v>
          </cell>
          <cell r="AR1523" t="str">
            <v>11001</v>
          </cell>
        </row>
        <row r="1524">
          <cell r="A1524" t="str">
            <v>4305051500</v>
          </cell>
          <cell r="M1524">
            <v>-483482</v>
          </cell>
          <cell r="AR1524" t="str">
            <v>11001</v>
          </cell>
        </row>
        <row r="1525">
          <cell r="A1525" t="str">
            <v>4305051500</v>
          </cell>
          <cell r="M1525">
            <v>-533778</v>
          </cell>
          <cell r="AR1525" t="str">
            <v>11001</v>
          </cell>
        </row>
        <row r="1526">
          <cell r="A1526" t="str">
            <v>4305051500</v>
          </cell>
          <cell r="M1526">
            <v>-279773</v>
          </cell>
          <cell r="AR1526" t="str">
            <v>11001</v>
          </cell>
        </row>
        <row r="1527">
          <cell r="A1527" t="str">
            <v>4305051500</v>
          </cell>
          <cell r="M1527">
            <v>-131275</v>
          </cell>
          <cell r="AR1527" t="str">
            <v>11001</v>
          </cell>
        </row>
        <row r="1528">
          <cell r="A1528" t="str">
            <v>4305051500</v>
          </cell>
          <cell r="M1528">
            <v>-29077</v>
          </cell>
          <cell r="AR1528" t="str">
            <v>11001</v>
          </cell>
        </row>
        <row r="1529">
          <cell r="A1529" t="str">
            <v>4305051500</v>
          </cell>
          <cell r="M1529">
            <v>-907654</v>
          </cell>
          <cell r="AR1529" t="str">
            <v>11001</v>
          </cell>
        </row>
        <row r="1530">
          <cell r="A1530" t="str">
            <v>4305051500</v>
          </cell>
          <cell r="M1530">
            <v>-78021</v>
          </cell>
          <cell r="AR1530" t="str">
            <v>11001</v>
          </cell>
        </row>
        <row r="1531">
          <cell r="A1531" t="str">
            <v>4305051500</v>
          </cell>
          <cell r="M1531">
            <v>-398458</v>
          </cell>
          <cell r="AR1531" t="str">
            <v>11001</v>
          </cell>
        </row>
        <row r="1532">
          <cell r="A1532" t="str">
            <v>4305051500</v>
          </cell>
          <cell r="M1532">
            <v>-208901</v>
          </cell>
          <cell r="AR1532" t="str">
            <v>11001</v>
          </cell>
        </row>
        <row r="1533">
          <cell r="A1533" t="str">
            <v>4305051500</v>
          </cell>
          <cell r="M1533">
            <v>-109683</v>
          </cell>
          <cell r="AR1533" t="str">
            <v>11001</v>
          </cell>
        </row>
        <row r="1534">
          <cell r="A1534" t="str">
            <v>4305051500</v>
          </cell>
          <cell r="M1534">
            <v>-639844</v>
          </cell>
          <cell r="AR1534" t="str">
            <v>11001</v>
          </cell>
        </row>
        <row r="1535">
          <cell r="A1535" t="str">
            <v>4305051500</v>
          </cell>
          <cell r="M1535">
            <v>-135072</v>
          </cell>
          <cell r="AR1535" t="str">
            <v>11001</v>
          </cell>
        </row>
        <row r="1536">
          <cell r="A1536" t="str">
            <v>4305051500</v>
          </cell>
          <cell r="M1536">
            <v>-2005132</v>
          </cell>
          <cell r="AR1536" t="str">
            <v>11001</v>
          </cell>
        </row>
        <row r="1537">
          <cell r="A1537" t="str">
            <v>4305051500</v>
          </cell>
          <cell r="M1537">
            <v>-482921</v>
          </cell>
          <cell r="AR1537" t="str">
            <v>11001</v>
          </cell>
        </row>
        <row r="1538">
          <cell r="A1538" t="str">
            <v>4305051500</v>
          </cell>
          <cell r="M1538">
            <v>-129741</v>
          </cell>
          <cell r="AR1538" t="str">
            <v>11001</v>
          </cell>
        </row>
        <row r="1539">
          <cell r="A1539" t="str">
            <v>4305051500</v>
          </cell>
          <cell r="M1539">
            <v>-534461</v>
          </cell>
          <cell r="AR1539" t="str">
            <v>11001</v>
          </cell>
        </row>
        <row r="1540">
          <cell r="A1540" t="str">
            <v>4305051500</v>
          </cell>
          <cell r="M1540">
            <v>-85120</v>
          </cell>
          <cell r="AR1540" t="str">
            <v>11001</v>
          </cell>
        </row>
        <row r="1541">
          <cell r="A1541" t="str">
            <v>4305051500</v>
          </cell>
          <cell r="M1541">
            <v>-433811</v>
          </cell>
          <cell r="AR1541" t="str">
            <v>11001</v>
          </cell>
        </row>
        <row r="1542">
          <cell r="A1542" t="str">
            <v>4305051500</v>
          </cell>
          <cell r="M1542">
            <v>-382971</v>
          </cell>
          <cell r="AR1542" t="str">
            <v>11001</v>
          </cell>
        </row>
        <row r="1543">
          <cell r="A1543" t="str">
            <v>4305051500</v>
          </cell>
          <cell r="M1543">
            <v>-164999</v>
          </cell>
          <cell r="AR1543" t="str">
            <v>11001</v>
          </cell>
        </row>
        <row r="1544">
          <cell r="A1544" t="str">
            <v>4305051500</v>
          </cell>
          <cell r="M1544">
            <v>-130617</v>
          </cell>
          <cell r="AR1544" t="str">
            <v>11001</v>
          </cell>
        </row>
        <row r="1545">
          <cell r="A1545" t="str">
            <v>4305051500</v>
          </cell>
          <cell r="M1545">
            <v>-336342</v>
          </cell>
          <cell r="AR1545" t="str">
            <v>11001</v>
          </cell>
        </row>
        <row r="1546">
          <cell r="A1546" t="str">
            <v>4305051500</v>
          </cell>
          <cell r="M1546">
            <v>-1102174</v>
          </cell>
          <cell r="AR1546" t="str">
            <v>11001</v>
          </cell>
        </row>
        <row r="1547">
          <cell r="A1547" t="str">
            <v>4305051500</v>
          </cell>
          <cell r="M1547">
            <v>-165655</v>
          </cell>
          <cell r="AR1547" t="str">
            <v>11001</v>
          </cell>
        </row>
        <row r="1548">
          <cell r="A1548" t="str">
            <v>4305051500</v>
          </cell>
          <cell r="M1548">
            <v>-617361</v>
          </cell>
          <cell r="AR1548" t="str">
            <v>11001</v>
          </cell>
        </row>
        <row r="1549">
          <cell r="A1549" t="str">
            <v>4305051500</v>
          </cell>
          <cell r="M1549">
            <v>-4635661</v>
          </cell>
          <cell r="AR1549" t="str">
            <v>11001</v>
          </cell>
        </row>
        <row r="1550">
          <cell r="A1550" t="str">
            <v>4305051500</v>
          </cell>
          <cell r="M1550">
            <v>-177643</v>
          </cell>
          <cell r="AR1550" t="str">
            <v>11001</v>
          </cell>
        </row>
        <row r="1551">
          <cell r="A1551" t="str">
            <v>4305051500</v>
          </cell>
          <cell r="M1551">
            <v>-442032</v>
          </cell>
          <cell r="AR1551" t="str">
            <v>11001</v>
          </cell>
        </row>
        <row r="1552">
          <cell r="A1552" t="str">
            <v>4305051500</v>
          </cell>
          <cell r="M1552">
            <v>-463879</v>
          </cell>
          <cell r="AR1552" t="str">
            <v>11001</v>
          </cell>
        </row>
        <row r="1553">
          <cell r="A1553" t="str">
            <v>4305051500</v>
          </cell>
          <cell r="M1553">
            <v>-364432</v>
          </cell>
          <cell r="AR1553" t="str">
            <v>11001</v>
          </cell>
        </row>
        <row r="1554">
          <cell r="A1554" t="str">
            <v>4305051500</v>
          </cell>
          <cell r="M1554">
            <v>-168742</v>
          </cell>
          <cell r="AR1554" t="str">
            <v>11001</v>
          </cell>
        </row>
        <row r="1555">
          <cell r="A1555" t="str">
            <v>4305051500</v>
          </cell>
          <cell r="M1555">
            <v>-498657</v>
          </cell>
          <cell r="AR1555" t="str">
            <v>11001</v>
          </cell>
        </row>
        <row r="1556">
          <cell r="A1556" t="str">
            <v>4305051500</v>
          </cell>
          <cell r="M1556">
            <v>-33669</v>
          </cell>
          <cell r="AR1556" t="str">
            <v>11001</v>
          </cell>
        </row>
        <row r="1557">
          <cell r="A1557" t="str">
            <v>4305051500</v>
          </cell>
          <cell r="M1557">
            <v>-295170</v>
          </cell>
          <cell r="AR1557" t="str">
            <v>11001</v>
          </cell>
        </row>
        <row r="1558">
          <cell r="A1558" t="str">
            <v>4305051500</v>
          </cell>
          <cell r="M1558">
            <v>-38859</v>
          </cell>
          <cell r="AR1558" t="str">
            <v>11001</v>
          </cell>
        </row>
        <row r="1559">
          <cell r="A1559" t="str">
            <v>4305051500</v>
          </cell>
          <cell r="M1559">
            <v>-64878</v>
          </cell>
          <cell r="AR1559" t="str">
            <v>11001</v>
          </cell>
        </row>
        <row r="1560">
          <cell r="A1560" t="str">
            <v>4305051500</v>
          </cell>
          <cell r="M1560">
            <v>-149988</v>
          </cell>
          <cell r="AR1560" t="str">
            <v>11001</v>
          </cell>
        </row>
        <row r="1561">
          <cell r="A1561" t="str">
            <v>4305051500</v>
          </cell>
          <cell r="M1561">
            <v>-764219</v>
          </cell>
          <cell r="AR1561" t="str">
            <v>11001</v>
          </cell>
        </row>
        <row r="1562">
          <cell r="A1562" t="str">
            <v>4305051500</v>
          </cell>
          <cell r="M1562">
            <v>-283489</v>
          </cell>
          <cell r="AR1562" t="str">
            <v>11001</v>
          </cell>
        </row>
        <row r="1563">
          <cell r="A1563" t="str">
            <v>4305051500</v>
          </cell>
          <cell r="M1563">
            <v>-282338</v>
          </cell>
          <cell r="AR1563" t="str">
            <v>11001</v>
          </cell>
        </row>
        <row r="1564">
          <cell r="A1564" t="str">
            <v>4305051500</v>
          </cell>
          <cell r="M1564">
            <v>-598267</v>
          </cell>
          <cell r="AR1564" t="str">
            <v>11001</v>
          </cell>
        </row>
        <row r="1565">
          <cell r="A1565" t="str">
            <v>4305051500</v>
          </cell>
          <cell r="M1565">
            <v>-370408</v>
          </cell>
          <cell r="AR1565" t="str">
            <v>11001</v>
          </cell>
        </row>
        <row r="1566">
          <cell r="A1566" t="str">
            <v>4305051500</v>
          </cell>
          <cell r="M1566">
            <v>-12256</v>
          </cell>
          <cell r="AR1566" t="str">
            <v>11001</v>
          </cell>
        </row>
        <row r="1567">
          <cell r="A1567" t="str">
            <v>4305051500</v>
          </cell>
          <cell r="M1567">
            <v>-372167</v>
          </cell>
          <cell r="AR1567" t="str">
            <v>11001</v>
          </cell>
        </row>
        <row r="1568">
          <cell r="A1568" t="str">
            <v>4305051500</v>
          </cell>
          <cell r="M1568">
            <v>-109826</v>
          </cell>
          <cell r="AR1568" t="str">
            <v>11001</v>
          </cell>
        </row>
        <row r="1569">
          <cell r="A1569" t="str">
            <v>4305051500</v>
          </cell>
          <cell r="M1569">
            <v>-378668</v>
          </cell>
          <cell r="AR1569" t="str">
            <v>11001</v>
          </cell>
        </row>
        <row r="1570">
          <cell r="A1570" t="str">
            <v>4305051500</v>
          </cell>
          <cell r="M1570">
            <v>-774382</v>
          </cell>
          <cell r="AR1570" t="str">
            <v>11001</v>
          </cell>
        </row>
        <row r="1571">
          <cell r="A1571" t="str">
            <v>4305051500</v>
          </cell>
          <cell r="M1571">
            <v>-304877</v>
          </cell>
          <cell r="AR1571" t="str">
            <v>11001</v>
          </cell>
        </row>
        <row r="1572">
          <cell r="A1572" t="str">
            <v>4305051500</v>
          </cell>
          <cell r="M1572">
            <v>-16055</v>
          </cell>
          <cell r="AR1572" t="str">
            <v>11001</v>
          </cell>
        </row>
        <row r="1573">
          <cell r="A1573" t="str">
            <v>4305051500</v>
          </cell>
          <cell r="M1573">
            <v>-401614</v>
          </cell>
          <cell r="AR1573" t="str">
            <v>11001</v>
          </cell>
        </row>
        <row r="1574">
          <cell r="A1574" t="str">
            <v>4305051500</v>
          </cell>
          <cell r="M1574">
            <v>-152135</v>
          </cell>
          <cell r="AR1574" t="str">
            <v>11001</v>
          </cell>
        </row>
        <row r="1575">
          <cell r="A1575" t="str">
            <v>4305051500</v>
          </cell>
          <cell r="M1575">
            <v>-19759</v>
          </cell>
          <cell r="AR1575" t="str">
            <v>11001</v>
          </cell>
        </row>
        <row r="1576">
          <cell r="A1576" t="str">
            <v>4305051500</v>
          </cell>
          <cell r="M1576">
            <v>-809124</v>
          </cell>
          <cell r="AR1576" t="str">
            <v>11001</v>
          </cell>
        </row>
        <row r="1577">
          <cell r="A1577" t="str">
            <v>4305051500</v>
          </cell>
          <cell r="M1577">
            <v>-140728</v>
          </cell>
          <cell r="AR1577" t="str">
            <v>11001</v>
          </cell>
        </row>
        <row r="1578">
          <cell r="A1578" t="str">
            <v>4305051500</v>
          </cell>
          <cell r="M1578">
            <v>-240444</v>
          </cell>
          <cell r="AR1578" t="str">
            <v>11001</v>
          </cell>
        </row>
        <row r="1579">
          <cell r="A1579" t="str">
            <v>4305051500</v>
          </cell>
          <cell r="M1579">
            <v>-128995</v>
          </cell>
          <cell r="AR1579" t="str">
            <v>11001</v>
          </cell>
        </row>
        <row r="1580">
          <cell r="A1580" t="str">
            <v>4305051500</v>
          </cell>
          <cell r="M1580">
            <v>-701796</v>
          </cell>
          <cell r="AR1580" t="str">
            <v>11001</v>
          </cell>
        </row>
        <row r="1581">
          <cell r="A1581" t="str">
            <v>4305051500</v>
          </cell>
          <cell r="M1581">
            <v>-383007</v>
          </cell>
          <cell r="AR1581" t="str">
            <v>11001</v>
          </cell>
        </row>
        <row r="1582">
          <cell r="A1582" t="str">
            <v>4305051500</v>
          </cell>
          <cell r="M1582">
            <v>-527701</v>
          </cell>
          <cell r="AR1582" t="str">
            <v>11001</v>
          </cell>
        </row>
        <row r="1583">
          <cell r="A1583" t="str">
            <v>4305051500</v>
          </cell>
          <cell r="M1583">
            <v>-196517</v>
          </cell>
          <cell r="AR1583" t="str">
            <v>11001</v>
          </cell>
        </row>
        <row r="1584">
          <cell r="A1584" t="str">
            <v>4305051500</v>
          </cell>
          <cell r="M1584">
            <v>-286285</v>
          </cell>
          <cell r="AR1584" t="str">
            <v>11001</v>
          </cell>
        </row>
        <row r="1585">
          <cell r="A1585" t="str">
            <v>4305051500</v>
          </cell>
          <cell r="M1585">
            <v>-4470181</v>
          </cell>
          <cell r="AR1585" t="str">
            <v>11001</v>
          </cell>
        </row>
        <row r="1586">
          <cell r="A1586" t="str">
            <v>4305051500</v>
          </cell>
          <cell r="M1586">
            <v>-105257</v>
          </cell>
          <cell r="AR1586" t="str">
            <v>11001</v>
          </cell>
        </row>
        <row r="1587">
          <cell r="A1587" t="str">
            <v>4305051500</v>
          </cell>
          <cell r="M1587">
            <v>-136298</v>
          </cell>
          <cell r="AR1587" t="str">
            <v>11001</v>
          </cell>
        </row>
        <row r="1588">
          <cell r="A1588" t="str">
            <v>4305051500</v>
          </cell>
          <cell r="M1588">
            <v>-611475</v>
          </cell>
          <cell r="AR1588" t="str">
            <v>11001</v>
          </cell>
        </row>
        <row r="1589">
          <cell r="A1589" t="str">
            <v>4305051500</v>
          </cell>
          <cell r="M1589">
            <v>-416213</v>
          </cell>
          <cell r="AR1589" t="str">
            <v>11001</v>
          </cell>
        </row>
        <row r="1590">
          <cell r="A1590" t="str">
            <v>4305051500</v>
          </cell>
          <cell r="M1590">
            <v>-293922</v>
          </cell>
          <cell r="AR1590" t="str">
            <v>11001</v>
          </cell>
        </row>
        <row r="1591">
          <cell r="A1591" t="str">
            <v>4305051500</v>
          </cell>
          <cell r="M1591">
            <v>-949777</v>
          </cell>
          <cell r="AR1591" t="str">
            <v>11001</v>
          </cell>
        </row>
        <row r="1592">
          <cell r="A1592" t="str">
            <v>4305051500</v>
          </cell>
          <cell r="M1592">
            <v>-52646</v>
          </cell>
          <cell r="AR1592" t="str">
            <v>11001</v>
          </cell>
        </row>
        <row r="1593">
          <cell r="A1593" t="str">
            <v>4305051500</v>
          </cell>
          <cell r="M1593">
            <v>-335742</v>
          </cell>
          <cell r="AR1593" t="str">
            <v>11001</v>
          </cell>
        </row>
        <row r="1594">
          <cell r="A1594" t="str">
            <v>4305051500</v>
          </cell>
          <cell r="M1594">
            <v>-227041</v>
          </cell>
          <cell r="AR1594" t="str">
            <v>11001</v>
          </cell>
        </row>
        <row r="1595">
          <cell r="A1595" t="str">
            <v>4305051500</v>
          </cell>
          <cell r="M1595">
            <v>-390135</v>
          </cell>
          <cell r="AR1595" t="str">
            <v>11001</v>
          </cell>
        </row>
        <row r="1596">
          <cell r="A1596" t="str">
            <v>4305051500</v>
          </cell>
          <cell r="M1596">
            <v>-223134</v>
          </cell>
          <cell r="AR1596" t="str">
            <v>11001</v>
          </cell>
        </row>
        <row r="1597">
          <cell r="A1597" t="str">
            <v>4305051500</v>
          </cell>
          <cell r="M1597">
            <v>-211944</v>
          </cell>
          <cell r="AR1597" t="str">
            <v>11001</v>
          </cell>
        </row>
        <row r="1598">
          <cell r="A1598" t="str">
            <v>4305051500</v>
          </cell>
          <cell r="M1598">
            <v>-210073</v>
          </cell>
          <cell r="AR1598" t="str">
            <v>11001</v>
          </cell>
        </row>
        <row r="1599">
          <cell r="A1599" t="str">
            <v>4305051500</v>
          </cell>
          <cell r="M1599">
            <v>-90474</v>
          </cell>
          <cell r="AR1599" t="str">
            <v>11001</v>
          </cell>
        </row>
        <row r="1600">
          <cell r="A1600" t="str">
            <v>4305051500</v>
          </cell>
          <cell r="M1600">
            <v>-84602</v>
          </cell>
          <cell r="AR1600" t="str">
            <v>11001</v>
          </cell>
        </row>
        <row r="1601">
          <cell r="A1601" t="str">
            <v>4305051500</v>
          </cell>
          <cell r="M1601">
            <v>-753629</v>
          </cell>
          <cell r="AR1601" t="str">
            <v>11001</v>
          </cell>
        </row>
        <row r="1602">
          <cell r="A1602" t="str">
            <v>4305051500</v>
          </cell>
          <cell r="M1602">
            <v>-100861</v>
          </cell>
          <cell r="AR1602" t="str">
            <v>11001</v>
          </cell>
        </row>
        <row r="1603">
          <cell r="A1603" t="str">
            <v>4305051500</v>
          </cell>
          <cell r="M1603">
            <v>-269385</v>
          </cell>
          <cell r="AR1603" t="str">
            <v>11001</v>
          </cell>
        </row>
        <row r="1604">
          <cell r="A1604" t="str">
            <v>4305051500</v>
          </cell>
          <cell r="M1604">
            <v>-464683</v>
          </cell>
          <cell r="AR1604" t="str">
            <v>11001</v>
          </cell>
        </row>
        <row r="1605">
          <cell r="A1605" t="str">
            <v>4305051500</v>
          </cell>
          <cell r="M1605">
            <v>-35437</v>
          </cell>
          <cell r="AR1605" t="str">
            <v>11001</v>
          </cell>
        </row>
        <row r="1606">
          <cell r="A1606" t="str">
            <v>4305051500</v>
          </cell>
          <cell r="M1606">
            <v>-57389</v>
          </cell>
          <cell r="AR1606" t="str">
            <v>11001</v>
          </cell>
        </row>
        <row r="1607">
          <cell r="A1607" t="str">
            <v>4305051500</v>
          </cell>
          <cell r="M1607">
            <v>-119081</v>
          </cell>
          <cell r="AR1607" t="str">
            <v>11001</v>
          </cell>
        </row>
        <row r="1608">
          <cell r="A1608" t="str">
            <v>4305051500</v>
          </cell>
          <cell r="M1608">
            <v>-177575</v>
          </cell>
          <cell r="AR1608" t="str">
            <v>11001</v>
          </cell>
        </row>
        <row r="1609">
          <cell r="A1609" t="str">
            <v>4305051500</v>
          </cell>
          <cell r="M1609">
            <v>-450717</v>
          </cell>
          <cell r="AR1609" t="str">
            <v>11001</v>
          </cell>
        </row>
        <row r="1610">
          <cell r="A1610" t="str">
            <v>4305051500</v>
          </cell>
          <cell r="M1610">
            <v>-1764307</v>
          </cell>
          <cell r="AR1610" t="str">
            <v>11001</v>
          </cell>
        </row>
        <row r="1611">
          <cell r="A1611" t="str">
            <v>4305051500</v>
          </cell>
          <cell r="M1611">
            <v>-326212</v>
          </cell>
          <cell r="AR1611" t="str">
            <v>11001</v>
          </cell>
        </row>
        <row r="1612">
          <cell r="A1612" t="str">
            <v>4305051500</v>
          </cell>
          <cell r="M1612">
            <v>-58915</v>
          </cell>
          <cell r="AR1612" t="str">
            <v>11001</v>
          </cell>
        </row>
        <row r="1613">
          <cell r="A1613" t="str">
            <v>4305051500</v>
          </cell>
          <cell r="M1613">
            <v>-124523</v>
          </cell>
          <cell r="AR1613" t="str">
            <v>11001</v>
          </cell>
        </row>
        <row r="1614">
          <cell r="A1614" t="str">
            <v>4305051500</v>
          </cell>
          <cell r="M1614">
            <v>-188409</v>
          </cell>
          <cell r="AR1614" t="str">
            <v>11001</v>
          </cell>
        </row>
        <row r="1615">
          <cell r="A1615" t="str">
            <v>4305051500</v>
          </cell>
          <cell r="M1615">
            <v>-28498</v>
          </cell>
          <cell r="AR1615" t="str">
            <v>11001</v>
          </cell>
        </row>
        <row r="1616">
          <cell r="A1616" t="str">
            <v>4305051500</v>
          </cell>
          <cell r="M1616">
            <v>-12061522</v>
          </cell>
          <cell r="AR1616" t="str">
            <v>11001</v>
          </cell>
        </row>
        <row r="1617">
          <cell r="A1617" t="str">
            <v>4305051500</v>
          </cell>
          <cell r="M1617">
            <v>-517671</v>
          </cell>
          <cell r="AR1617" t="str">
            <v>11001</v>
          </cell>
        </row>
        <row r="1618">
          <cell r="A1618" t="str">
            <v>4305051500</v>
          </cell>
          <cell r="M1618">
            <v>-376773</v>
          </cell>
          <cell r="AR1618" t="str">
            <v>11001</v>
          </cell>
        </row>
        <row r="1619">
          <cell r="A1619" t="str">
            <v>4305051500</v>
          </cell>
          <cell r="M1619">
            <v>-41556</v>
          </cell>
          <cell r="AR1619" t="str">
            <v>11001</v>
          </cell>
        </row>
        <row r="1620">
          <cell r="A1620" t="str">
            <v>4305051500</v>
          </cell>
          <cell r="M1620">
            <v>-399801</v>
          </cell>
          <cell r="AR1620" t="str">
            <v>11001</v>
          </cell>
        </row>
        <row r="1621">
          <cell r="A1621" t="str">
            <v>4305051500</v>
          </cell>
          <cell r="M1621">
            <v>-608341</v>
          </cell>
          <cell r="AR1621" t="str">
            <v>11001</v>
          </cell>
        </row>
        <row r="1622">
          <cell r="A1622" t="str">
            <v>4305051500</v>
          </cell>
          <cell r="M1622">
            <v>-172287</v>
          </cell>
          <cell r="AR1622" t="str">
            <v>11001</v>
          </cell>
        </row>
        <row r="1623">
          <cell r="A1623" t="str">
            <v>4305051500</v>
          </cell>
          <cell r="M1623">
            <v>-127918</v>
          </cell>
          <cell r="AR1623" t="str">
            <v>11001</v>
          </cell>
        </row>
        <row r="1624">
          <cell r="A1624" t="str">
            <v>4305051500</v>
          </cell>
          <cell r="M1624">
            <v>-2334184</v>
          </cell>
          <cell r="AR1624" t="str">
            <v>11001</v>
          </cell>
        </row>
        <row r="1625">
          <cell r="A1625" t="str">
            <v>4305051500</v>
          </cell>
          <cell r="M1625">
            <v>-96617</v>
          </cell>
          <cell r="AR1625" t="str">
            <v>11001</v>
          </cell>
        </row>
        <row r="1626">
          <cell r="A1626" t="str">
            <v>4305051500</v>
          </cell>
          <cell r="M1626">
            <v>-110290</v>
          </cell>
          <cell r="AR1626" t="str">
            <v>11001</v>
          </cell>
        </row>
        <row r="1627">
          <cell r="A1627" t="str">
            <v>4305051500</v>
          </cell>
          <cell r="M1627">
            <v>-64072</v>
          </cell>
          <cell r="AR1627" t="str">
            <v>11001</v>
          </cell>
        </row>
        <row r="1628">
          <cell r="A1628" t="str">
            <v>4305051500</v>
          </cell>
          <cell r="M1628">
            <v>31567</v>
          </cell>
          <cell r="AR1628" t="str">
            <v>11001</v>
          </cell>
        </row>
        <row r="1629">
          <cell r="A1629" t="str">
            <v>4305051500</v>
          </cell>
          <cell r="M1629">
            <v>-44943</v>
          </cell>
          <cell r="AR1629" t="str">
            <v>11001</v>
          </cell>
        </row>
        <row r="1630">
          <cell r="A1630" t="str">
            <v>4305051500</v>
          </cell>
          <cell r="M1630">
            <v>-955481</v>
          </cell>
          <cell r="AR1630" t="str">
            <v>11001</v>
          </cell>
        </row>
        <row r="1631">
          <cell r="A1631" t="str">
            <v>4305051500</v>
          </cell>
          <cell r="M1631">
            <v>-82966</v>
          </cell>
          <cell r="AR1631" t="str">
            <v>11001</v>
          </cell>
        </row>
        <row r="1632">
          <cell r="A1632" t="str">
            <v>4305051500</v>
          </cell>
          <cell r="M1632">
            <v>-42835</v>
          </cell>
          <cell r="AR1632" t="str">
            <v>11001</v>
          </cell>
        </row>
        <row r="1633">
          <cell r="A1633" t="str">
            <v>4305051500</v>
          </cell>
          <cell r="M1633">
            <v>-80993</v>
          </cell>
          <cell r="AR1633" t="str">
            <v>11001</v>
          </cell>
        </row>
        <row r="1634">
          <cell r="A1634" t="str">
            <v>4305051500</v>
          </cell>
          <cell r="M1634">
            <v>-398852</v>
          </cell>
          <cell r="AR1634" t="str">
            <v>11001</v>
          </cell>
        </row>
        <row r="1635">
          <cell r="A1635" t="str">
            <v>4305051500</v>
          </cell>
          <cell r="M1635">
            <v>-529351</v>
          </cell>
          <cell r="AR1635" t="str">
            <v>11001</v>
          </cell>
        </row>
        <row r="1636">
          <cell r="A1636" t="str">
            <v>4305051500</v>
          </cell>
          <cell r="M1636">
            <v>-15432</v>
          </cell>
          <cell r="AR1636" t="str">
            <v>11001</v>
          </cell>
        </row>
        <row r="1637">
          <cell r="A1637" t="str">
            <v>4305051500</v>
          </cell>
          <cell r="M1637">
            <v>-932080</v>
          </cell>
          <cell r="AR1637" t="str">
            <v>11001</v>
          </cell>
        </row>
        <row r="1638">
          <cell r="A1638" t="str">
            <v>4305051500</v>
          </cell>
          <cell r="M1638">
            <v>-54949</v>
          </cell>
          <cell r="AR1638" t="str">
            <v>11001</v>
          </cell>
        </row>
        <row r="1639">
          <cell r="A1639" t="str">
            <v>4305051500</v>
          </cell>
          <cell r="M1639">
            <v>-2745138</v>
          </cell>
          <cell r="AR1639" t="str">
            <v>11001</v>
          </cell>
        </row>
        <row r="1640">
          <cell r="A1640" t="str">
            <v>4305051500</v>
          </cell>
          <cell r="M1640">
            <v>-134439</v>
          </cell>
          <cell r="AR1640" t="str">
            <v>11001</v>
          </cell>
        </row>
        <row r="1641">
          <cell r="A1641" t="str">
            <v>4305051500</v>
          </cell>
          <cell r="M1641">
            <v>-53056</v>
          </cell>
          <cell r="AR1641" t="str">
            <v>11001</v>
          </cell>
        </row>
        <row r="1642">
          <cell r="A1642" t="str">
            <v>4305051500</v>
          </cell>
          <cell r="M1642">
            <v>-134439</v>
          </cell>
          <cell r="AR1642" t="str">
            <v>11001</v>
          </cell>
        </row>
        <row r="1643">
          <cell r="A1643" t="str">
            <v>4305051500</v>
          </cell>
          <cell r="M1643">
            <v>-390752</v>
          </cell>
          <cell r="AR1643" t="str">
            <v>11001</v>
          </cell>
        </row>
        <row r="1644">
          <cell r="A1644" t="str">
            <v>4305051500</v>
          </cell>
          <cell r="M1644">
            <v>-42636</v>
          </cell>
          <cell r="AR1644" t="str">
            <v>11001</v>
          </cell>
        </row>
        <row r="1645">
          <cell r="A1645" t="str">
            <v>4305051500</v>
          </cell>
          <cell r="M1645">
            <v>-241070</v>
          </cell>
          <cell r="AR1645" t="str">
            <v>11001</v>
          </cell>
        </row>
        <row r="1646">
          <cell r="A1646" t="str">
            <v>4305051500</v>
          </cell>
          <cell r="M1646">
            <v>-539271</v>
          </cell>
          <cell r="AR1646" t="str">
            <v>11001</v>
          </cell>
        </row>
        <row r="1647">
          <cell r="A1647" t="str">
            <v>4305051500</v>
          </cell>
          <cell r="M1647">
            <v>-530760</v>
          </cell>
          <cell r="AR1647" t="str">
            <v>11001</v>
          </cell>
        </row>
        <row r="1648">
          <cell r="A1648" t="str">
            <v>4305051500</v>
          </cell>
          <cell r="M1648">
            <v>-897067</v>
          </cell>
          <cell r="AR1648" t="str">
            <v>11001</v>
          </cell>
        </row>
        <row r="1649">
          <cell r="A1649" t="str">
            <v>4305051500</v>
          </cell>
          <cell r="M1649">
            <v>-293139</v>
          </cell>
          <cell r="AR1649" t="str">
            <v>11001</v>
          </cell>
        </row>
        <row r="1650">
          <cell r="A1650" t="str">
            <v>4305051500</v>
          </cell>
          <cell r="M1650">
            <v>-238391</v>
          </cell>
          <cell r="AR1650" t="str">
            <v>11001</v>
          </cell>
        </row>
        <row r="1651">
          <cell r="A1651" t="str">
            <v>4305051500</v>
          </cell>
          <cell r="M1651">
            <v>-124295</v>
          </cell>
          <cell r="AR1651" t="str">
            <v>11001</v>
          </cell>
        </row>
        <row r="1652">
          <cell r="A1652" t="str">
            <v>4305051500</v>
          </cell>
          <cell r="M1652">
            <v>-365984</v>
          </cell>
          <cell r="AR1652" t="str">
            <v>11001</v>
          </cell>
        </row>
        <row r="1653">
          <cell r="A1653" t="str">
            <v>4305051500</v>
          </cell>
          <cell r="M1653">
            <v>-132639</v>
          </cell>
          <cell r="AR1653" t="str">
            <v>11001</v>
          </cell>
        </row>
        <row r="1654">
          <cell r="A1654" t="str">
            <v>4305051500</v>
          </cell>
          <cell r="M1654">
            <v>-745743</v>
          </cell>
          <cell r="AR1654" t="str">
            <v>11001</v>
          </cell>
        </row>
        <row r="1655">
          <cell r="A1655" t="str">
            <v>4305051500</v>
          </cell>
          <cell r="M1655">
            <v>-694587</v>
          </cell>
          <cell r="AR1655" t="str">
            <v>11001</v>
          </cell>
        </row>
        <row r="1656">
          <cell r="A1656" t="str">
            <v>4305051500</v>
          </cell>
          <cell r="M1656">
            <v>-122041</v>
          </cell>
          <cell r="AR1656" t="str">
            <v>11001</v>
          </cell>
        </row>
        <row r="1657">
          <cell r="A1657" t="str">
            <v>4305051500</v>
          </cell>
          <cell r="M1657">
            <v>-539118</v>
          </cell>
          <cell r="AR1657" t="str">
            <v>11001</v>
          </cell>
        </row>
        <row r="1658">
          <cell r="A1658" t="str">
            <v>4305051500</v>
          </cell>
          <cell r="M1658">
            <v>-31890</v>
          </cell>
          <cell r="AR1658" t="str">
            <v>11001</v>
          </cell>
        </row>
        <row r="1659">
          <cell r="A1659" t="str">
            <v>4305051500</v>
          </cell>
          <cell r="M1659">
            <v>-274659</v>
          </cell>
          <cell r="AR1659" t="str">
            <v>11001</v>
          </cell>
        </row>
        <row r="1660">
          <cell r="A1660" t="str">
            <v>4305051500</v>
          </cell>
          <cell r="M1660">
            <v>-45416</v>
          </cell>
          <cell r="AR1660" t="str">
            <v>11001</v>
          </cell>
        </row>
        <row r="1661">
          <cell r="A1661" t="str">
            <v>4305051500</v>
          </cell>
          <cell r="M1661">
            <v>-303144</v>
          </cell>
          <cell r="AR1661" t="str">
            <v>11001</v>
          </cell>
        </row>
        <row r="1662">
          <cell r="A1662" t="str">
            <v>4305051500</v>
          </cell>
          <cell r="M1662">
            <v>-1036334</v>
          </cell>
          <cell r="AR1662" t="str">
            <v>11001</v>
          </cell>
        </row>
        <row r="1663">
          <cell r="A1663" t="str">
            <v>4305051500</v>
          </cell>
          <cell r="M1663">
            <v>-246414</v>
          </cell>
          <cell r="AR1663" t="str">
            <v>11001</v>
          </cell>
        </row>
        <row r="1664">
          <cell r="A1664" t="str">
            <v>4305051500</v>
          </cell>
          <cell r="M1664">
            <v>-14359</v>
          </cell>
          <cell r="AR1664" t="str">
            <v>11001</v>
          </cell>
        </row>
        <row r="1665">
          <cell r="A1665" t="str">
            <v>4305051500</v>
          </cell>
          <cell r="M1665">
            <v>-76704</v>
          </cell>
          <cell r="AR1665" t="str">
            <v>11001</v>
          </cell>
        </row>
        <row r="1666">
          <cell r="A1666" t="str">
            <v>4305051500</v>
          </cell>
          <cell r="M1666">
            <v>-137356</v>
          </cell>
          <cell r="AR1666" t="str">
            <v>11001</v>
          </cell>
        </row>
        <row r="1667">
          <cell r="A1667" t="str">
            <v>4305051500</v>
          </cell>
          <cell r="M1667">
            <v>-106405</v>
          </cell>
          <cell r="AR1667" t="str">
            <v>11001</v>
          </cell>
        </row>
        <row r="1668">
          <cell r="A1668" t="str">
            <v>4305051500</v>
          </cell>
          <cell r="M1668">
            <v>-90294</v>
          </cell>
          <cell r="AR1668" t="str">
            <v>11001</v>
          </cell>
        </row>
        <row r="1669">
          <cell r="A1669" t="str">
            <v>4305051500</v>
          </cell>
          <cell r="M1669">
            <v>-114889</v>
          </cell>
          <cell r="AR1669" t="str">
            <v>11001</v>
          </cell>
        </row>
        <row r="1670">
          <cell r="A1670" t="str">
            <v>4305051500</v>
          </cell>
          <cell r="M1670">
            <v>-399737</v>
          </cell>
          <cell r="AR1670" t="str">
            <v>11001</v>
          </cell>
        </row>
        <row r="1671">
          <cell r="A1671" t="str">
            <v>4305051500</v>
          </cell>
          <cell r="M1671">
            <v>-537016</v>
          </cell>
          <cell r="AR1671" t="str">
            <v>11001</v>
          </cell>
        </row>
        <row r="1672">
          <cell r="A1672" t="str">
            <v>4305051500</v>
          </cell>
          <cell r="M1672">
            <v>-325254</v>
          </cell>
          <cell r="AR1672" t="str">
            <v>11001</v>
          </cell>
        </row>
        <row r="1673">
          <cell r="A1673" t="str">
            <v>4305051600</v>
          </cell>
          <cell r="M1673">
            <v>-136925</v>
          </cell>
          <cell r="AR1673" t="str">
            <v>11001</v>
          </cell>
        </row>
        <row r="1674">
          <cell r="A1674" t="str">
            <v>4305051600</v>
          </cell>
          <cell r="M1674">
            <v>-170408</v>
          </cell>
          <cell r="AR1674" t="str">
            <v>11001</v>
          </cell>
        </row>
        <row r="1675">
          <cell r="A1675" t="str">
            <v>4305051600</v>
          </cell>
          <cell r="M1675">
            <v>-101031</v>
          </cell>
          <cell r="AR1675" t="str">
            <v>11001</v>
          </cell>
        </row>
        <row r="1676">
          <cell r="A1676" t="str">
            <v>4305051600</v>
          </cell>
          <cell r="M1676">
            <v>-313632</v>
          </cell>
          <cell r="AR1676" t="str">
            <v>11001</v>
          </cell>
        </row>
        <row r="1677">
          <cell r="A1677" t="str">
            <v>4305051600</v>
          </cell>
          <cell r="M1677">
            <v>-97977</v>
          </cell>
          <cell r="AR1677" t="str">
            <v>11001</v>
          </cell>
        </row>
        <row r="1678">
          <cell r="A1678" t="str">
            <v>4305051600</v>
          </cell>
          <cell r="M1678">
            <v>-137380</v>
          </cell>
          <cell r="AR1678" t="str">
            <v>11001</v>
          </cell>
        </row>
        <row r="1679">
          <cell r="A1679" t="str">
            <v>4305051600</v>
          </cell>
          <cell r="M1679">
            <v>-162256</v>
          </cell>
          <cell r="AR1679" t="str">
            <v>11001</v>
          </cell>
        </row>
        <row r="1680">
          <cell r="A1680" t="str">
            <v>4305051600</v>
          </cell>
          <cell r="M1680">
            <v>-223266</v>
          </cell>
          <cell r="AR1680" t="str">
            <v>11001</v>
          </cell>
        </row>
        <row r="1681">
          <cell r="A1681" t="str">
            <v>4305051600</v>
          </cell>
          <cell r="M1681">
            <v>-180601</v>
          </cell>
          <cell r="AR1681" t="str">
            <v>11001</v>
          </cell>
        </row>
        <row r="1682">
          <cell r="A1682" t="str">
            <v>4305051600</v>
          </cell>
          <cell r="M1682">
            <v>-46290</v>
          </cell>
          <cell r="AR1682" t="str">
            <v>11001</v>
          </cell>
        </row>
        <row r="1683">
          <cell r="A1683" t="str">
            <v>4305051600</v>
          </cell>
          <cell r="M1683">
            <v>-217564</v>
          </cell>
          <cell r="AR1683" t="str">
            <v>11001</v>
          </cell>
        </row>
        <row r="1684">
          <cell r="A1684" t="str">
            <v>4305051600</v>
          </cell>
          <cell r="M1684">
            <v>-296795</v>
          </cell>
          <cell r="AR1684" t="str">
            <v>11001</v>
          </cell>
        </row>
        <row r="1685">
          <cell r="A1685" t="str">
            <v>4305051600</v>
          </cell>
          <cell r="M1685">
            <v>-22869</v>
          </cell>
          <cell r="AR1685" t="str">
            <v>11001</v>
          </cell>
        </row>
        <row r="1686">
          <cell r="A1686" t="str">
            <v>4305051600</v>
          </cell>
          <cell r="M1686">
            <v>-377119</v>
          </cell>
          <cell r="AR1686" t="str">
            <v>11001</v>
          </cell>
        </row>
        <row r="1687">
          <cell r="A1687" t="str">
            <v>4305051600</v>
          </cell>
          <cell r="M1687">
            <v>-67492</v>
          </cell>
          <cell r="AR1687" t="str">
            <v>11001</v>
          </cell>
        </row>
        <row r="1688">
          <cell r="A1688" t="str">
            <v>4305051600</v>
          </cell>
          <cell r="M1688">
            <v>-39727</v>
          </cell>
          <cell r="AR1688" t="str">
            <v>11001</v>
          </cell>
        </row>
        <row r="1689">
          <cell r="A1689" t="str">
            <v>4305051600</v>
          </cell>
          <cell r="M1689">
            <v>-266476</v>
          </cell>
          <cell r="AR1689" t="str">
            <v>11001</v>
          </cell>
        </row>
        <row r="1690">
          <cell r="A1690" t="str">
            <v>4305051600</v>
          </cell>
          <cell r="M1690">
            <v>-132842</v>
          </cell>
          <cell r="AR1690" t="str">
            <v>11001</v>
          </cell>
        </row>
        <row r="1691">
          <cell r="A1691" t="str">
            <v>4305051600</v>
          </cell>
          <cell r="M1691">
            <v>-45456</v>
          </cell>
          <cell r="AR1691" t="str">
            <v>11001</v>
          </cell>
        </row>
        <row r="1692">
          <cell r="A1692" t="str">
            <v>4305051600</v>
          </cell>
          <cell r="M1692">
            <v>-245625</v>
          </cell>
          <cell r="AR1692" t="str">
            <v>11001</v>
          </cell>
        </row>
        <row r="1693">
          <cell r="A1693" t="str">
            <v>4305051600</v>
          </cell>
          <cell r="M1693">
            <v>-110228</v>
          </cell>
          <cell r="AR1693" t="str">
            <v>11001</v>
          </cell>
        </row>
        <row r="1694">
          <cell r="A1694" t="str">
            <v>4305051600</v>
          </cell>
          <cell r="M1694">
            <v>-32283</v>
          </cell>
          <cell r="AR1694" t="str">
            <v>11001</v>
          </cell>
        </row>
        <row r="1695">
          <cell r="A1695" t="str">
            <v>4305051600</v>
          </cell>
          <cell r="M1695">
            <v>-328859</v>
          </cell>
          <cell r="AR1695" t="str">
            <v>11001</v>
          </cell>
        </row>
        <row r="1696">
          <cell r="A1696" t="str">
            <v>4305051600</v>
          </cell>
          <cell r="M1696">
            <v>-387751</v>
          </cell>
          <cell r="AR1696" t="str">
            <v>11001</v>
          </cell>
        </row>
        <row r="1697">
          <cell r="A1697" t="str">
            <v>4305051600</v>
          </cell>
          <cell r="M1697">
            <v>-45944</v>
          </cell>
          <cell r="AR1697" t="str">
            <v>11001</v>
          </cell>
        </row>
        <row r="1698">
          <cell r="A1698" t="str">
            <v>4305051600</v>
          </cell>
          <cell r="M1698">
            <v>-87614</v>
          </cell>
          <cell r="AR1698" t="str">
            <v>11001</v>
          </cell>
        </row>
        <row r="1699">
          <cell r="A1699" t="str">
            <v>4305051600</v>
          </cell>
          <cell r="M1699">
            <v>-211393</v>
          </cell>
          <cell r="AR1699" t="str">
            <v>11001</v>
          </cell>
        </row>
        <row r="1700">
          <cell r="A1700" t="str">
            <v>4305051600</v>
          </cell>
          <cell r="M1700">
            <v>-136680</v>
          </cell>
          <cell r="AR1700" t="str">
            <v>11001</v>
          </cell>
        </row>
        <row r="1701">
          <cell r="A1701" t="str">
            <v>4305051600</v>
          </cell>
          <cell r="M1701">
            <v>-172653</v>
          </cell>
          <cell r="AR1701" t="str">
            <v>11001</v>
          </cell>
        </row>
        <row r="1702">
          <cell r="A1702" t="str">
            <v>4305051600</v>
          </cell>
          <cell r="M1702">
            <v>-93132</v>
          </cell>
          <cell r="AR1702" t="str">
            <v>11001</v>
          </cell>
        </row>
        <row r="1703">
          <cell r="A1703" t="str">
            <v>4305051600</v>
          </cell>
          <cell r="M1703">
            <v>-18285</v>
          </cell>
          <cell r="AR1703" t="str">
            <v>11001</v>
          </cell>
        </row>
        <row r="1704">
          <cell r="A1704" t="str">
            <v>4305051600</v>
          </cell>
          <cell r="M1704">
            <v>246491</v>
          </cell>
          <cell r="AR1704" t="str">
            <v>11001</v>
          </cell>
        </row>
        <row r="1705">
          <cell r="A1705" t="str">
            <v>4305051600</v>
          </cell>
          <cell r="M1705">
            <v>-97346</v>
          </cell>
          <cell r="AR1705" t="str">
            <v>11001</v>
          </cell>
        </row>
        <row r="1706">
          <cell r="A1706" t="str">
            <v>4305051600</v>
          </cell>
          <cell r="M1706">
            <v>-226608</v>
          </cell>
          <cell r="AR1706" t="str">
            <v>11001</v>
          </cell>
        </row>
        <row r="1707">
          <cell r="A1707" t="str">
            <v>4305051600</v>
          </cell>
          <cell r="M1707">
            <v>-63898</v>
          </cell>
          <cell r="AR1707" t="str">
            <v>11001</v>
          </cell>
        </row>
        <row r="1708">
          <cell r="A1708" t="str">
            <v>4305051600</v>
          </cell>
          <cell r="M1708">
            <v>-391979</v>
          </cell>
          <cell r="AR1708" t="str">
            <v>11001</v>
          </cell>
        </row>
        <row r="1709">
          <cell r="A1709" t="str">
            <v>4305051600</v>
          </cell>
          <cell r="M1709">
            <v>-211387</v>
          </cell>
          <cell r="AR1709" t="str">
            <v>11001</v>
          </cell>
        </row>
        <row r="1710">
          <cell r="A1710" t="str">
            <v>4305051600</v>
          </cell>
          <cell r="M1710">
            <v>-40217</v>
          </cell>
          <cell r="AR1710" t="str">
            <v>11001</v>
          </cell>
        </row>
        <row r="1711">
          <cell r="A1711" t="str">
            <v>4305051600</v>
          </cell>
          <cell r="M1711">
            <v>-192110</v>
          </cell>
          <cell r="AR1711" t="str">
            <v>11001</v>
          </cell>
        </row>
        <row r="1712">
          <cell r="A1712" t="str">
            <v>4305051600</v>
          </cell>
          <cell r="M1712">
            <v>-99708</v>
          </cell>
          <cell r="AR1712" t="str">
            <v>11001</v>
          </cell>
        </row>
        <row r="1713">
          <cell r="A1713" t="str">
            <v>4305051600</v>
          </cell>
          <cell r="M1713">
            <v>-98486</v>
          </cell>
          <cell r="AR1713" t="str">
            <v>11001</v>
          </cell>
        </row>
        <row r="1714">
          <cell r="A1714" t="str">
            <v>4305051600</v>
          </cell>
          <cell r="M1714">
            <v>-65733</v>
          </cell>
          <cell r="AR1714" t="str">
            <v>11001</v>
          </cell>
        </row>
        <row r="1715">
          <cell r="A1715" t="str">
            <v>4305051600</v>
          </cell>
          <cell r="M1715">
            <v>-65098</v>
          </cell>
          <cell r="AR1715" t="str">
            <v>11001</v>
          </cell>
        </row>
        <row r="1716">
          <cell r="A1716" t="str">
            <v>4305051600</v>
          </cell>
          <cell r="M1716">
            <v>-596730</v>
          </cell>
          <cell r="AR1716" t="str">
            <v>11001</v>
          </cell>
        </row>
        <row r="1717">
          <cell r="A1717" t="str">
            <v>4305051600</v>
          </cell>
          <cell r="M1717">
            <v>-47577</v>
          </cell>
          <cell r="AR1717" t="str">
            <v>11001</v>
          </cell>
        </row>
        <row r="1718">
          <cell r="A1718" t="str">
            <v>4305051600</v>
          </cell>
          <cell r="M1718">
            <v>408452</v>
          </cell>
          <cell r="AR1718" t="str">
            <v>11001</v>
          </cell>
        </row>
        <row r="1719">
          <cell r="A1719" t="str">
            <v>4305051600</v>
          </cell>
          <cell r="M1719">
            <v>-130264</v>
          </cell>
          <cell r="AR1719" t="str">
            <v>11001</v>
          </cell>
        </row>
        <row r="1720">
          <cell r="A1720" t="str">
            <v>4305051600</v>
          </cell>
          <cell r="M1720">
            <v>-851262</v>
          </cell>
          <cell r="AR1720" t="str">
            <v>11001</v>
          </cell>
        </row>
        <row r="1721">
          <cell r="A1721" t="str">
            <v>4305051600</v>
          </cell>
          <cell r="M1721">
            <v>-73869</v>
          </cell>
          <cell r="AR1721" t="str">
            <v>11001</v>
          </cell>
        </row>
        <row r="1722">
          <cell r="A1722" t="str">
            <v>4305051600</v>
          </cell>
          <cell r="M1722">
            <v>-10728</v>
          </cell>
          <cell r="AR1722" t="str">
            <v>11001</v>
          </cell>
        </row>
        <row r="1723">
          <cell r="A1723" t="str">
            <v>4305051600</v>
          </cell>
          <cell r="M1723">
            <v>-44027</v>
          </cell>
          <cell r="AR1723" t="str">
            <v>11001</v>
          </cell>
        </row>
        <row r="1724">
          <cell r="A1724" t="str">
            <v>4305051600</v>
          </cell>
          <cell r="M1724">
            <v>-27414</v>
          </cell>
          <cell r="AR1724" t="str">
            <v>11001</v>
          </cell>
        </row>
        <row r="1725">
          <cell r="A1725" t="str">
            <v>4305051600</v>
          </cell>
          <cell r="M1725">
            <v>-81996</v>
          </cell>
          <cell r="AR1725" t="str">
            <v>11001</v>
          </cell>
        </row>
        <row r="1726">
          <cell r="A1726" t="str">
            <v>4305051600</v>
          </cell>
          <cell r="M1726">
            <v>-132114</v>
          </cell>
          <cell r="AR1726" t="str">
            <v>11001</v>
          </cell>
        </row>
        <row r="1727">
          <cell r="A1727" t="str">
            <v>4305051600</v>
          </cell>
          <cell r="M1727">
            <v>-91433</v>
          </cell>
          <cell r="AR1727" t="str">
            <v>11001</v>
          </cell>
        </row>
        <row r="1728">
          <cell r="A1728" t="str">
            <v>4305051600</v>
          </cell>
          <cell r="M1728">
            <v>-108921</v>
          </cell>
          <cell r="AR1728" t="str">
            <v>11001</v>
          </cell>
        </row>
        <row r="1729">
          <cell r="A1729" t="str">
            <v>4305051600</v>
          </cell>
          <cell r="M1729">
            <v>-167162</v>
          </cell>
          <cell r="AR1729" t="str">
            <v>11001</v>
          </cell>
        </row>
        <row r="1730">
          <cell r="A1730" t="str">
            <v>4305051600</v>
          </cell>
          <cell r="M1730">
            <v>-181417</v>
          </cell>
          <cell r="AR1730" t="str">
            <v>11001</v>
          </cell>
        </row>
        <row r="1731">
          <cell r="A1731" t="str">
            <v>4305051600</v>
          </cell>
          <cell r="M1731">
            <v>-73514</v>
          </cell>
          <cell r="AR1731" t="str">
            <v>11001</v>
          </cell>
        </row>
        <row r="1732">
          <cell r="A1732" t="str">
            <v>4305051600</v>
          </cell>
          <cell r="M1732">
            <v>-97998</v>
          </cell>
          <cell r="AR1732" t="str">
            <v>11001</v>
          </cell>
        </row>
        <row r="1733">
          <cell r="A1733" t="str">
            <v>4305051600</v>
          </cell>
          <cell r="M1733">
            <v>-96556</v>
          </cell>
          <cell r="AR1733" t="str">
            <v>11001</v>
          </cell>
        </row>
        <row r="1734">
          <cell r="A1734" t="str">
            <v>4305051600</v>
          </cell>
          <cell r="M1734">
            <v>-391979</v>
          </cell>
          <cell r="AR1734" t="str">
            <v>11001</v>
          </cell>
        </row>
        <row r="1735">
          <cell r="A1735" t="str">
            <v>4305051600</v>
          </cell>
          <cell r="M1735">
            <v>-363384</v>
          </cell>
          <cell r="AR1735" t="str">
            <v>11001</v>
          </cell>
        </row>
        <row r="1736">
          <cell r="A1736" t="str">
            <v>4305051600</v>
          </cell>
          <cell r="M1736">
            <v>-36720</v>
          </cell>
          <cell r="AR1736" t="str">
            <v>11001</v>
          </cell>
        </row>
        <row r="1737">
          <cell r="A1737" t="str">
            <v>4305051600</v>
          </cell>
          <cell r="M1737">
            <v>-27309</v>
          </cell>
          <cell r="AR1737" t="str">
            <v>11001</v>
          </cell>
        </row>
        <row r="1738">
          <cell r="A1738" t="str">
            <v>4305051600</v>
          </cell>
          <cell r="M1738">
            <v>-2450714</v>
          </cell>
          <cell r="AR1738" t="str">
            <v>11001</v>
          </cell>
        </row>
        <row r="1739">
          <cell r="A1739" t="str">
            <v>4305051600</v>
          </cell>
          <cell r="M1739">
            <v>-326701</v>
          </cell>
          <cell r="AR1739" t="str">
            <v>11001</v>
          </cell>
        </row>
        <row r="1740">
          <cell r="A1740" t="str">
            <v>4305051600</v>
          </cell>
          <cell r="M1740">
            <v>-212650</v>
          </cell>
          <cell r="AR1740" t="str">
            <v>11001</v>
          </cell>
        </row>
        <row r="1741">
          <cell r="A1741" t="str">
            <v>4305051600</v>
          </cell>
          <cell r="M1741">
            <v>-227418</v>
          </cell>
          <cell r="AR1741" t="str">
            <v>11001</v>
          </cell>
        </row>
        <row r="1742">
          <cell r="A1742" t="str">
            <v>4305051600</v>
          </cell>
          <cell r="M1742">
            <v>-18443</v>
          </cell>
          <cell r="AR1742" t="str">
            <v>11001</v>
          </cell>
        </row>
        <row r="1743">
          <cell r="A1743" t="str">
            <v>4305051600</v>
          </cell>
          <cell r="M1743">
            <v>-395723</v>
          </cell>
          <cell r="AR1743" t="str">
            <v>11001</v>
          </cell>
        </row>
        <row r="1744">
          <cell r="A1744" t="str">
            <v>4305051600</v>
          </cell>
          <cell r="M1744">
            <v>-139349</v>
          </cell>
          <cell r="AR1744" t="str">
            <v>11001</v>
          </cell>
        </row>
        <row r="1745">
          <cell r="A1745" t="str">
            <v>4305051600</v>
          </cell>
          <cell r="M1745">
            <v>-383509</v>
          </cell>
          <cell r="AR1745" t="str">
            <v>11001</v>
          </cell>
        </row>
        <row r="1746">
          <cell r="A1746" t="str">
            <v>4305051600</v>
          </cell>
          <cell r="M1746">
            <v>-1533230</v>
          </cell>
          <cell r="AR1746" t="str">
            <v>11001</v>
          </cell>
        </row>
        <row r="1747">
          <cell r="A1747" t="str">
            <v>4305051600</v>
          </cell>
          <cell r="M1747">
            <v>-177210</v>
          </cell>
          <cell r="AR1747" t="str">
            <v>11001</v>
          </cell>
        </row>
        <row r="1748">
          <cell r="A1748" t="str">
            <v>4305051600</v>
          </cell>
          <cell r="M1748">
            <v>-125280</v>
          </cell>
          <cell r="AR1748" t="str">
            <v>11001</v>
          </cell>
        </row>
        <row r="1749">
          <cell r="A1749" t="str">
            <v>4305051600</v>
          </cell>
          <cell r="M1749">
            <v>-4544</v>
          </cell>
          <cell r="AR1749" t="str">
            <v>11001</v>
          </cell>
        </row>
        <row r="1750">
          <cell r="A1750" t="str">
            <v>4305051600</v>
          </cell>
          <cell r="M1750">
            <v>-43227</v>
          </cell>
          <cell r="AR1750" t="str">
            <v>11001</v>
          </cell>
        </row>
        <row r="1751">
          <cell r="A1751" t="str">
            <v>4305051600</v>
          </cell>
          <cell r="M1751">
            <v>-201698</v>
          </cell>
          <cell r="AR1751" t="str">
            <v>11001</v>
          </cell>
        </row>
        <row r="1752">
          <cell r="A1752" t="str">
            <v>4305051600</v>
          </cell>
          <cell r="M1752">
            <v>-113540</v>
          </cell>
          <cell r="AR1752" t="str">
            <v>11001</v>
          </cell>
        </row>
        <row r="1753">
          <cell r="A1753" t="str">
            <v>4305051600</v>
          </cell>
          <cell r="M1753">
            <v>-57572</v>
          </cell>
          <cell r="AR1753" t="str">
            <v>11001</v>
          </cell>
        </row>
        <row r="1754">
          <cell r="A1754" t="str">
            <v>4305051600</v>
          </cell>
          <cell r="M1754">
            <v>-81636</v>
          </cell>
          <cell r="AR1754" t="str">
            <v>11001</v>
          </cell>
        </row>
        <row r="1755">
          <cell r="A1755" t="str">
            <v>4305051600</v>
          </cell>
          <cell r="M1755">
            <v>-123962</v>
          </cell>
          <cell r="AR1755" t="str">
            <v>11001</v>
          </cell>
        </row>
        <row r="1756">
          <cell r="A1756" t="str">
            <v>4305051600</v>
          </cell>
          <cell r="M1756">
            <v>-140551</v>
          </cell>
          <cell r="AR1756" t="str">
            <v>11001</v>
          </cell>
        </row>
        <row r="1757">
          <cell r="A1757" t="str">
            <v>4305051600</v>
          </cell>
          <cell r="M1757">
            <v>-70323</v>
          </cell>
          <cell r="AR1757" t="str">
            <v>11001</v>
          </cell>
        </row>
        <row r="1758">
          <cell r="A1758" t="str">
            <v>4305051600</v>
          </cell>
          <cell r="M1758">
            <v>-120910</v>
          </cell>
          <cell r="AR1758" t="str">
            <v>11001</v>
          </cell>
        </row>
        <row r="1759">
          <cell r="A1759" t="str">
            <v>4305051600</v>
          </cell>
          <cell r="M1759">
            <v>-144373</v>
          </cell>
          <cell r="AR1759" t="str">
            <v>11001</v>
          </cell>
        </row>
        <row r="1760">
          <cell r="A1760" t="str">
            <v>4305051600</v>
          </cell>
          <cell r="M1760">
            <v>-33875</v>
          </cell>
          <cell r="AR1760" t="str">
            <v>11001</v>
          </cell>
        </row>
        <row r="1761">
          <cell r="A1761" t="str">
            <v>4305051600</v>
          </cell>
          <cell r="M1761">
            <v>-23418</v>
          </cell>
          <cell r="AR1761" t="str">
            <v>11001</v>
          </cell>
        </row>
        <row r="1762">
          <cell r="A1762" t="str">
            <v>4305051600</v>
          </cell>
          <cell r="M1762">
            <v>-2907699</v>
          </cell>
          <cell r="AR1762" t="str">
            <v>11001</v>
          </cell>
        </row>
        <row r="1763">
          <cell r="A1763" t="str">
            <v>4305051600</v>
          </cell>
          <cell r="M1763">
            <v>-168786</v>
          </cell>
          <cell r="AR1763" t="str">
            <v>11001</v>
          </cell>
        </row>
        <row r="1764">
          <cell r="A1764" t="str">
            <v>4305051600</v>
          </cell>
          <cell r="M1764">
            <v>-124385</v>
          </cell>
          <cell r="AR1764" t="str">
            <v>11001</v>
          </cell>
        </row>
        <row r="1765">
          <cell r="A1765" t="str">
            <v>4305051600</v>
          </cell>
          <cell r="M1765">
            <v>-35988</v>
          </cell>
          <cell r="AR1765" t="str">
            <v>11001</v>
          </cell>
        </row>
        <row r="1766">
          <cell r="A1766" t="str">
            <v>4305051600</v>
          </cell>
          <cell r="M1766">
            <v>-227418</v>
          </cell>
          <cell r="AR1766" t="str">
            <v>11001</v>
          </cell>
        </row>
        <row r="1767">
          <cell r="A1767" t="str">
            <v>4305051600</v>
          </cell>
          <cell r="M1767">
            <v>-85172</v>
          </cell>
          <cell r="AR1767" t="str">
            <v>11001</v>
          </cell>
        </row>
        <row r="1768">
          <cell r="A1768" t="str">
            <v>4305051600</v>
          </cell>
          <cell r="M1768">
            <v>-1270423</v>
          </cell>
          <cell r="AR1768" t="str">
            <v>11001</v>
          </cell>
        </row>
        <row r="1769">
          <cell r="A1769" t="str">
            <v>4305051600</v>
          </cell>
          <cell r="M1769">
            <v>-63296</v>
          </cell>
          <cell r="AR1769" t="str">
            <v>11001</v>
          </cell>
        </row>
        <row r="1770">
          <cell r="A1770" t="str">
            <v>4305051600</v>
          </cell>
          <cell r="M1770">
            <v>-157299</v>
          </cell>
          <cell r="AR1770" t="str">
            <v>11001</v>
          </cell>
        </row>
        <row r="1771">
          <cell r="A1771" t="str">
            <v>4305051600</v>
          </cell>
          <cell r="M1771">
            <v>-407379</v>
          </cell>
          <cell r="AR1771" t="str">
            <v>11001</v>
          </cell>
        </row>
        <row r="1772">
          <cell r="A1772" t="str">
            <v>4305051600</v>
          </cell>
          <cell r="M1772">
            <v>-36474</v>
          </cell>
          <cell r="AR1772" t="str">
            <v>11001</v>
          </cell>
        </row>
        <row r="1773">
          <cell r="A1773" t="str">
            <v>4305051600</v>
          </cell>
          <cell r="M1773">
            <v>-172948</v>
          </cell>
          <cell r="AR1773" t="str">
            <v>11001</v>
          </cell>
        </row>
        <row r="1774">
          <cell r="A1774" t="str">
            <v>4305051600</v>
          </cell>
          <cell r="M1774">
            <v>-128809</v>
          </cell>
          <cell r="AR1774" t="str">
            <v>11001</v>
          </cell>
        </row>
        <row r="1775">
          <cell r="A1775" t="str">
            <v>4305051600</v>
          </cell>
          <cell r="M1775">
            <v>-88186</v>
          </cell>
          <cell r="AR1775" t="str">
            <v>11001</v>
          </cell>
        </row>
        <row r="1776">
          <cell r="A1776" t="str">
            <v>4305051600</v>
          </cell>
          <cell r="M1776">
            <v>-107282</v>
          </cell>
          <cell r="AR1776" t="str">
            <v>11001</v>
          </cell>
        </row>
        <row r="1777">
          <cell r="A1777" t="str">
            <v>4305051600</v>
          </cell>
          <cell r="M1777">
            <v>-37157</v>
          </cell>
          <cell r="AR1777" t="str">
            <v>11001</v>
          </cell>
        </row>
        <row r="1778">
          <cell r="A1778" t="str">
            <v>4305051600</v>
          </cell>
          <cell r="M1778">
            <v>141877</v>
          </cell>
          <cell r="AR1778" t="str">
            <v>11001</v>
          </cell>
        </row>
        <row r="1779">
          <cell r="A1779" t="str">
            <v>4305051600</v>
          </cell>
          <cell r="M1779">
            <v>-254509</v>
          </cell>
          <cell r="AR1779" t="str">
            <v>11001</v>
          </cell>
        </row>
        <row r="1780">
          <cell r="A1780" t="str">
            <v>4305051600</v>
          </cell>
          <cell r="M1780">
            <v>-155894</v>
          </cell>
          <cell r="AR1780" t="str">
            <v>11001</v>
          </cell>
        </row>
        <row r="1781">
          <cell r="A1781" t="str">
            <v>4305051600</v>
          </cell>
          <cell r="M1781">
            <v>-127239</v>
          </cell>
          <cell r="AR1781" t="str">
            <v>11001</v>
          </cell>
        </row>
        <row r="1782">
          <cell r="A1782" t="str">
            <v>4305051600</v>
          </cell>
          <cell r="M1782">
            <v>-181590</v>
          </cell>
          <cell r="AR1782" t="str">
            <v>11001</v>
          </cell>
        </row>
        <row r="1783">
          <cell r="A1783" t="str">
            <v>4305051600</v>
          </cell>
          <cell r="M1783">
            <v>-184382</v>
          </cell>
          <cell r="AR1783" t="str">
            <v>11001</v>
          </cell>
        </row>
        <row r="1784">
          <cell r="A1784" t="str">
            <v>4305051600</v>
          </cell>
          <cell r="M1784">
            <v>-60592</v>
          </cell>
          <cell r="AR1784" t="str">
            <v>11001</v>
          </cell>
        </row>
        <row r="1785">
          <cell r="A1785" t="str">
            <v>4305051600</v>
          </cell>
          <cell r="M1785">
            <v>-56130</v>
          </cell>
          <cell r="AR1785" t="str">
            <v>11001</v>
          </cell>
        </row>
        <row r="1786">
          <cell r="A1786" t="str">
            <v>4305051600</v>
          </cell>
          <cell r="M1786">
            <v>-1478838</v>
          </cell>
          <cell r="AR1786" t="str">
            <v>11001</v>
          </cell>
        </row>
        <row r="1787">
          <cell r="A1787" t="str">
            <v>4305051600</v>
          </cell>
          <cell r="M1787">
            <v>-108920</v>
          </cell>
          <cell r="AR1787" t="str">
            <v>11001</v>
          </cell>
        </row>
        <row r="1788">
          <cell r="A1788" t="str">
            <v>4305051600</v>
          </cell>
          <cell r="M1788">
            <v>-8590</v>
          </cell>
          <cell r="AR1788" t="str">
            <v>11001</v>
          </cell>
        </row>
        <row r="1789">
          <cell r="A1789" t="str">
            <v>4305051600</v>
          </cell>
          <cell r="M1789">
            <v>-18979</v>
          </cell>
          <cell r="AR1789" t="str">
            <v>11001</v>
          </cell>
        </row>
        <row r="1790">
          <cell r="A1790" t="str">
            <v>4305051600</v>
          </cell>
          <cell r="M1790">
            <v>-379253</v>
          </cell>
          <cell r="AR1790" t="str">
            <v>11001</v>
          </cell>
        </row>
        <row r="1791">
          <cell r="A1791" t="str">
            <v>4305051600</v>
          </cell>
          <cell r="M1791">
            <v>-263538</v>
          </cell>
          <cell r="AR1791" t="str">
            <v>11001</v>
          </cell>
        </row>
        <row r="1792">
          <cell r="A1792" t="str">
            <v>4305051600</v>
          </cell>
          <cell r="M1792">
            <v>-45404</v>
          </cell>
          <cell r="AR1792" t="str">
            <v>11001</v>
          </cell>
        </row>
        <row r="1793">
          <cell r="A1793" t="str">
            <v>4305051600</v>
          </cell>
          <cell r="M1793">
            <v>-394088</v>
          </cell>
          <cell r="AR1793" t="str">
            <v>11001</v>
          </cell>
        </row>
        <row r="1794">
          <cell r="A1794" t="str">
            <v>4305051600</v>
          </cell>
          <cell r="M1794">
            <v>-101221</v>
          </cell>
          <cell r="AR1794" t="str">
            <v>11001</v>
          </cell>
        </row>
        <row r="1795">
          <cell r="A1795" t="str">
            <v>4305051600</v>
          </cell>
          <cell r="M1795">
            <v>-448206</v>
          </cell>
          <cell r="AR1795" t="str">
            <v>11001</v>
          </cell>
        </row>
        <row r="1796">
          <cell r="A1796" t="str">
            <v>4305051600</v>
          </cell>
          <cell r="M1796">
            <v>-359900</v>
          </cell>
          <cell r="AR1796" t="str">
            <v>11001</v>
          </cell>
        </row>
        <row r="1797">
          <cell r="A1797" t="str">
            <v>4305051600</v>
          </cell>
          <cell r="M1797">
            <v>-134986</v>
          </cell>
          <cell r="AR1797" t="str">
            <v>11001</v>
          </cell>
        </row>
        <row r="1798">
          <cell r="A1798" t="str">
            <v>4305051600</v>
          </cell>
          <cell r="M1798">
            <v>-101031</v>
          </cell>
          <cell r="AR1798" t="str">
            <v>11001</v>
          </cell>
        </row>
        <row r="1799">
          <cell r="A1799" t="str">
            <v>4305051600</v>
          </cell>
          <cell r="M1799">
            <v>-115937</v>
          </cell>
          <cell r="AR1799" t="str">
            <v>11001</v>
          </cell>
        </row>
        <row r="1800">
          <cell r="A1800" t="str">
            <v>4305051600</v>
          </cell>
          <cell r="M1800">
            <v>-45307</v>
          </cell>
          <cell r="AR1800" t="str">
            <v>11001</v>
          </cell>
        </row>
        <row r="1801">
          <cell r="A1801" t="str">
            <v>4305051600</v>
          </cell>
          <cell r="M1801">
            <v>-211972</v>
          </cell>
          <cell r="AR1801" t="str">
            <v>11001</v>
          </cell>
        </row>
        <row r="1802">
          <cell r="A1802" t="str">
            <v>4305051600</v>
          </cell>
          <cell r="M1802">
            <v>38054</v>
          </cell>
          <cell r="AR1802" t="str">
            <v>11001</v>
          </cell>
        </row>
        <row r="1803">
          <cell r="A1803" t="str">
            <v>4305051600</v>
          </cell>
          <cell r="M1803">
            <v>-31486</v>
          </cell>
          <cell r="AR1803" t="str">
            <v>11001</v>
          </cell>
        </row>
        <row r="1804">
          <cell r="A1804" t="str">
            <v>4305051600</v>
          </cell>
          <cell r="M1804">
            <v>-90924</v>
          </cell>
          <cell r="AR1804" t="str">
            <v>11001</v>
          </cell>
        </row>
        <row r="1805">
          <cell r="A1805" t="str">
            <v>4305051600</v>
          </cell>
          <cell r="M1805">
            <v>-63485</v>
          </cell>
          <cell r="AR1805" t="str">
            <v>11001</v>
          </cell>
        </row>
        <row r="1806">
          <cell r="A1806" t="str">
            <v>4305051600</v>
          </cell>
          <cell r="M1806">
            <v>-128074</v>
          </cell>
          <cell r="AR1806" t="str">
            <v>11001</v>
          </cell>
        </row>
        <row r="1807">
          <cell r="A1807" t="str">
            <v>4305051600</v>
          </cell>
          <cell r="M1807">
            <v>-381383</v>
          </cell>
          <cell r="AR1807" t="str">
            <v>11001</v>
          </cell>
        </row>
        <row r="1808">
          <cell r="A1808" t="str">
            <v>4305051600</v>
          </cell>
          <cell r="M1808">
            <v>255541</v>
          </cell>
          <cell r="AR1808" t="str">
            <v>11001</v>
          </cell>
        </row>
        <row r="1809">
          <cell r="A1809" t="str">
            <v>4305051600</v>
          </cell>
          <cell r="M1809">
            <v>-292927</v>
          </cell>
          <cell r="AR1809" t="str">
            <v>11001</v>
          </cell>
        </row>
        <row r="1810">
          <cell r="A1810" t="str">
            <v>4305051600</v>
          </cell>
          <cell r="M1810">
            <v>-66296</v>
          </cell>
          <cell r="AR1810" t="str">
            <v>11001</v>
          </cell>
        </row>
        <row r="1811">
          <cell r="A1811" t="str">
            <v>4305051600</v>
          </cell>
          <cell r="M1811">
            <v>-228326</v>
          </cell>
          <cell r="AR1811" t="str">
            <v>11001</v>
          </cell>
        </row>
        <row r="1812">
          <cell r="A1812" t="str">
            <v>4305051600</v>
          </cell>
          <cell r="M1812">
            <v>-66296</v>
          </cell>
          <cell r="AR1812" t="str">
            <v>11001</v>
          </cell>
        </row>
        <row r="1813">
          <cell r="A1813" t="str">
            <v>4305051600</v>
          </cell>
          <cell r="M1813">
            <v>99455</v>
          </cell>
          <cell r="AR1813" t="str">
            <v>11001</v>
          </cell>
        </row>
        <row r="1814">
          <cell r="A1814" t="str">
            <v>4305051600</v>
          </cell>
          <cell r="M1814">
            <v>-91163</v>
          </cell>
          <cell r="AR1814" t="str">
            <v>11001</v>
          </cell>
        </row>
        <row r="1815">
          <cell r="A1815" t="str">
            <v>4305051600</v>
          </cell>
          <cell r="M1815">
            <v>-760374</v>
          </cell>
          <cell r="AR1815" t="str">
            <v>11001</v>
          </cell>
        </row>
        <row r="1816">
          <cell r="A1816" t="str">
            <v>4305051600</v>
          </cell>
          <cell r="M1816">
            <v>-287257</v>
          </cell>
          <cell r="AR1816" t="str">
            <v>11001</v>
          </cell>
        </row>
        <row r="1817">
          <cell r="A1817" t="str">
            <v>4305051600</v>
          </cell>
          <cell r="M1817">
            <v>-172026</v>
          </cell>
          <cell r="AR1817" t="str">
            <v>11001</v>
          </cell>
        </row>
        <row r="1818">
          <cell r="A1818" t="str">
            <v>4305051600</v>
          </cell>
          <cell r="M1818">
            <v>-100449</v>
          </cell>
          <cell r="AR1818" t="str">
            <v>11001</v>
          </cell>
        </row>
        <row r="1819">
          <cell r="A1819" t="str">
            <v>4305051600</v>
          </cell>
          <cell r="M1819">
            <v>-66296</v>
          </cell>
          <cell r="AR1819" t="str">
            <v>11001</v>
          </cell>
        </row>
        <row r="1820">
          <cell r="A1820" t="str">
            <v>4305051600</v>
          </cell>
          <cell r="M1820">
            <v>-20388</v>
          </cell>
          <cell r="AR1820" t="str">
            <v>11001</v>
          </cell>
        </row>
        <row r="1821">
          <cell r="A1821" t="str">
            <v>4305051600</v>
          </cell>
          <cell r="M1821">
            <v>-108920</v>
          </cell>
          <cell r="AR1821" t="str">
            <v>11001</v>
          </cell>
        </row>
        <row r="1822">
          <cell r="A1822" t="str">
            <v>4305051700</v>
          </cell>
          <cell r="M1822">
            <v>-285458</v>
          </cell>
          <cell r="AR1822" t="str">
            <v>11001</v>
          </cell>
        </row>
        <row r="1823">
          <cell r="A1823" t="str">
            <v>4305051700</v>
          </cell>
          <cell r="M1823">
            <v>-629</v>
          </cell>
          <cell r="AR1823" t="str">
            <v>11001</v>
          </cell>
        </row>
        <row r="1824">
          <cell r="A1824" t="str">
            <v>4305051700</v>
          </cell>
          <cell r="M1824">
            <v>-184668</v>
          </cell>
          <cell r="AR1824" t="str">
            <v>11001</v>
          </cell>
        </row>
        <row r="1825">
          <cell r="A1825" t="str">
            <v>4305051700</v>
          </cell>
          <cell r="M1825">
            <v>-445411</v>
          </cell>
          <cell r="AR1825" t="str">
            <v>11001</v>
          </cell>
        </row>
        <row r="1826">
          <cell r="A1826" t="str">
            <v>4305051700</v>
          </cell>
          <cell r="M1826">
            <v>-530555</v>
          </cell>
          <cell r="AR1826" t="str">
            <v>11001</v>
          </cell>
        </row>
        <row r="1827">
          <cell r="A1827" t="str">
            <v>4305051700</v>
          </cell>
          <cell r="M1827">
            <v>-302351</v>
          </cell>
          <cell r="AR1827" t="str">
            <v>11001</v>
          </cell>
        </row>
        <row r="1828">
          <cell r="A1828" t="str">
            <v>4305051700</v>
          </cell>
          <cell r="M1828">
            <v>-135963</v>
          </cell>
          <cell r="AR1828" t="str">
            <v>11001</v>
          </cell>
        </row>
        <row r="1829">
          <cell r="A1829" t="str">
            <v>4305051700</v>
          </cell>
          <cell r="M1829">
            <v>-81123</v>
          </cell>
          <cell r="AR1829" t="str">
            <v>11001</v>
          </cell>
        </row>
        <row r="1830">
          <cell r="A1830" t="str">
            <v>4305051700</v>
          </cell>
          <cell r="M1830">
            <v>-468742</v>
          </cell>
          <cell r="AR1830" t="str">
            <v>11001</v>
          </cell>
        </row>
        <row r="1831">
          <cell r="A1831" t="str">
            <v>4305051700</v>
          </cell>
          <cell r="M1831">
            <v>-418715</v>
          </cell>
          <cell r="AR1831" t="str">
            <v>11001</v>
          </cell>
        </row>
        <row r="1832">
          <cell r="A1832" t="str">
            <v>4305051700</v>
          </cell>
          <cell r="M1832">
            <v>-299366</v>
          </cell>
          <cell r="AR1832" t="str">
            <v>11001</v>
          </cell>
        </row>
        <row r="1833">
          <cell r="A1833" t="str">
            <v>4305051700</v>
          </cell>
          <cell r="M1833">
            <v>-259509</v>
          </cell>
          <cell r="AR1833" t="str">
            <v>11001</v>
          </cell>
        </row>
        <row r="1834">
          <cell r="A1834" t="str">
            <v>4305051700</v>
          </cell>
          <cell r="M1834">
            <v>-565936</v>
          </cell>
          <cell r="AR1834" t="str">
            <v>11001</v>
          </cell>
        </row>
        <row r="1835">
          <cell r="A1835" t="str">
            <v>4305051700</v>
          </cell>
          <cell r="M1835">
            <v>-417564</v>
          </cell>
          <cell r="AR1835" t="str">
            <v>11001</v>
          </cell>
        </row>
        <row r="1836">
          <cell r="A1836" t="str">
            <v>4305051700</v>
          </cell>
          <cell r="M1836">
            <v>-126395</v>
          </cell>
          <cell r="AR1836" t="str">
            <v>11001</v>
          </cell>
        </row>
        <row r="1837">
          <cell r="A1837" t="str">
            <v>4305051700</v>
          </cell>
          <cell r="M1837">
            <v>-277608</v>
          </cell>
          <cell r="AR1837" t="str">
            <v>11001</v>
          </cell>
        </row>
        <row r="1838">
          <cell r="A1838" t="str">
            <v>4305051700</v>
          </cell>
          <cell r="M1838">
            <v>-425220</v>
          </cell>
          <cell r="AR1838" t="str">
            <v>11001</v>
          </cell>
        </row>
        <row r="1839">
          <cell r="A1839" t="str">
            <v>4305051700</v>
          </cell>
          <cell r="M1839">
            <v>-171891</v>
          </cell>
          <cell r="AR1839" t="str">
            <v>11001</v>
          </cell>
        </row>
        <row r="1840">
          <cell r="A1840" t="str">
            <v>4305051700</v>
          </cell>
          <cell r="M1840">
            <v>-202067</v>
          </cell>
          <cell r="AR1840" t="str">
            <v>11001</v>
          </cell>
        </row>
        <row r="1841">
          <cell r="A1841" t="str">
            <v>4305051700</v>
          </cell>
          <cell r="M1841">
            <v>-231107</v>
          </cell>
          <cell r="AR1841" t="str">
            <v>11001</v>
          </cell>
        </row>
        <row r="1842">
          <cell r="A1842" t="str">
            <v>4305051700</v>
          </cell>
          <cell r="M1842">
            <v>-55346</v>
          </cell>
          <cell r="AR1842" t="str">
            <v>11001</v>
          </cell>
        </row>
        <row r="1843">
          <cell r="A1843" t="str">
            <v>4305051700</v>
          </cell>
          <cell r="M1843">
            <v>-197193</v>
          </cell>
          <cell r="AR1843" t="str">
            <v>11001</v>
          </cell>
        </row>
        <row r="1844">
          <cell r="A1844" t="str">
            <v>4305051700</v>
          </cell>
          <cell r="M1844">
            <v>-282544</v>
          </cell>
          <cell r="AR1844" t="str">
            <v>11001</v>
          </cell>
        </row>
        <row r="1845">
          <cell r="A1845" t="str">
            <v>4305051700</v>
          </cell>
          <cell r="M1845">
            <v>-38</v>
          </cell>
          <cell r="AR1845" t="str">
            <v>11001</v>
          </cell>
        </row>
        <row r="1846">
          <cell r="A1846" t="str">
            <v>4305051700</v>
          </cell>
          <cell r="M1846">
            <v>-455887</v>
          </cell>
          <cell r="AR1846" t="str">
            <v>11001</v>
          </cell>
        </row>
        <row r="1847">
          <cell r="A1847" t="str">
            <v>4305051700</v>
          </cell>
          <cell r="M1847">
            <v>-209128</v>
          </cell>
          <cell r="AR1847" t="str">
            <v>11001</v>
          </cell>
        </row>
        <row r="1848">
          <cell r="A1848" t="str">
            <v>4305051700</v>
          </cell>
          <cell r="M1848">
            <v>-678626</v>
          </cell>
          <cell r="AR1848" t="str">
            <v>11001</v>
          </cell>
        </row>
        <row r="1849">
          <cell r="A1849" t="str">
            <v>4305051700</v>
          </cell>
          <cell r="M1849">
            <v>-179569</v>
          </cell>
          <cell r="AR1849" t="str">
            <v>11001</v>
          </cell>
        </row>
        <row r="1850">
          <cell r="A1850" t="str">
            <v>4305051700</v>
          </cell>
          <cell r="M1850">
            <v>-55812</v>
          </cell>
          <cell r="AR1850" t="str">
            <v>11001</v>
          </cell>
        </row>
        <row r="1851">
          <cell r="A1851" t="str">
            <v>4305051700</v>
          </cell>
          <cell r="M1851">
            <v>-191694</v>
          </cell>
          <cell r="AR1851" t="str">
            <v>11001</v>
          </cell>
        </row>
        <row r="1852">
          <cell r="A1852" t="str">
            <v>4305051700</v>
          </cell>
          <cell r="M1852">
            <v>-298107</v>
          </cell>
          <cell r="AR1852" t="str">
            <v>11001</v>
          </cell>
        </row>
        <row r="1853">
          <cell r="A1853" t="str">
            <v>4305051700</v>
          </cell>
          <cell r="M1853">
            <v>-129717</v>
          </cell>
          <cell r="AR1853" t="str">
            <v>11001</v>
          </cell>
        </row>
        <row r="1854">
          <cell r="A1854" t="str">
            <v>4305051700</v>
          </cell>
          <cell r="M1854">
            <v>-413302</v>
          </cell>
          <cell r="AR1854" t="str">
            <v>11001</v>
          </cell>
        </row>
        <row r="1855">
          <cell r="A1855" t="str">
            <v>4305051700</v>
          </cell>
          <cell r="M1855">
            <v>-292718</v>
          </cell>
          <cell r="AR1855" t="str">
            <v>11001</v>
          </cell>
        </row>
        <row r="1856">
          <cell r="A1856" t="str">
            <v>4305051700</v>
          </cell>
          <cell r="M1856">
            <v>-325093</v>
          </cell>
          <cell r="AR1856" t="str">
            <v>11001</v>
          </cell>
        </row>
        <row r="1857">
          <cell r="A1857" t="str">
            <v>4305051700</v>
          </cell>
          <cell r="M1857">
            <v>-258448</v>
          </cell>
          <cell r="AR1857" t="str">
            <v>11001</v>
          </cell>
        </row>
        <row r="1858">
          <cell r="A1858" t="str">
            <v>4305051700</v>
          </cell>
          <cell r="M1858">
            <v>-494362</v>
          </cell>
          <cell r="AR1858" t="str">
            <v>11001</v>
          </cell>
        </row>
        <row r="1859">
          <cell r="A1859" t="str">
            <v>4305051700</v>
          </cell>
          <cell r="M1859">
            <v>-228847</v>
          </cell>
          <cell r="AR1859" t="str">
            <v>11001</v>
          </cell>
        </row>
        <row r="1860">
          <cell r="A1860" t="str">
            <v>4305051700</v>
          </cell>
          <cell r="M1860">
            <v>-80817</v>
          </cell>
          <cell r="AR1860" t="str">
            <v>11001</v>
          </cell>
        </row>
        <row r="1861">
          <cell r="A1861" t="str">
            <v>4305051700</v>
          </cell>
          <cell r="M1861">
            <v>-202326</v>
          </cell>
          <cell r="AR1861" t="str">
            <v>11001</v>
          </cell>
        </row>
        <row r="1862">
          <cell r="A1862" t="str">
            <v>4305051700</v>
          </cell>
          <cell r="M1862">
            <v>-259405</v>
          </cell>
          <cell r="AR1862" t="str">
            <v>11001</v>
          </cell>
        </row>
        <row r="1863">
          <cell r="A1863" t="str">
            <v>4305051700</v>
          </cell>
          <cell r="M1863">
            <v>-100406</v>
          </cell>
          <cell r="AR1863" t="str">
            <v>11001</v>
          </cell>
        </row>
        <row r="1864">
          <cell r="A1864" t="str">
            <v>4305051700</v>
          </cell>
          <cell r="M1864">
            <v>-443333</v>
          </cell>
          <cell r="AR1864" t="str">
            <v>11001</v>
          </cell>
        </row>
        <row r="1865">
          <cell r="A1865" t="str">
            <v>4305051700</v>
          </cell>
          <cell r="M1865">
            <v>-69551</v>
          </cell>
          <cell r="AR1865" t="str">
            <v>11001</v>
          </cell>
        </row>
        <row r="1866">
          <cell r="A1866" t="str">
            <v>4305051700</v>
          </cell>
          <cell r="M1866">
            <v>-26904</v>
          </cell>
          <cell r="AR1866" t="str">
            <v>11001</v>
          </cell>
        </row>
        <row r="1867">
          <cell r="A1867" t="str">
            <v>4305051700</v>
          </cell>
          <cell r="M1867">
            <v>-91999</v>
          </cell>
          <cell r="AR1867" t="str">
            <v>11001</v>
          </cell>
        </row>
        <row r="1868">
          <cell r="A1868" t="str">
            <v>4305051700</v>
          </cell>
          <cell r="M1868">
            <v>-49134</v>
          </cell>
          <cell r="AR1868" t="str">
            <v>11001</v>
          </cell>
        </row>
        <row r="1869">
          <cell r="A1869" t="str">
            <v>4305051700</v>
          </cell>
          <cell r="M1869">
            <v>-450981</v>
          </cell>
          <cell r="AR1869" t="str">
            <v>11001</v>
          </cell>
        </row>
        <row r="1870">
          <cell r="A1870" t="str">
            <v>4305051700</v>
          </cell>
          <cell r="M1870">
            <v>-271321</v>
          </cell>
          <cell r="AR1870" t="str">
            <v>11001</v>
          </cell>
        </row>
        <row r="1871">
          <cell r="A1871" t="str">
            <v>4305051700</v>
          </cell>
          <cell r="M1871">
            <v>-433853</v>
          </cell>
          <cell r="AR1871" t="str">
            <v>11001</v>
          </cell>
        </row>
        <row r="1872">
          <cell r="A1872" t="str">
            <v>4305051700</v>
          </cell>
          <cell r="M1872">
            <v>-647206</v>
          </cell>
          <cell r="AR1872" t="str">
            <v>11001</v>
          </cell>
        </row>
        <row r="1873">
          <cell r="A1873" t="str">
            <v>4305051700</v>
          </cell>
          <cell r="M1873">
            <v>-256459</v>
          </cell>
          <cell r="AR1873" t="str">
            <v>11001</v>
          </cell>
        </row>
        <row r="1874">
          <cell r="A1874" t="str">
            <v>4305051700</v>
          </cell>
          <cell r="M1874">
            <v>-389888</v>
          </cell>
          <cell r="AR1874" t="str">
            <v>11001</v>
          </cell>
        </row>
        <row r="1875">
          <cell r="A1875" t="str">
            <v>4305051700</v>
          </cell>
          <cell r="M1875">
            <v>-545557</v>
          </cell>
          <cell r="AR1875" t="str">
            <v>11001</v>
          </cell>
        </row>
        <row r="1876">
          <cell r="A1876" t="str">
            <v>4305051700</v>
          </cell>
          <cell r="M1876">
            <v>-367175</v>
          </cell>
          <cell r="AR1876" t="str">
            <v>11001</v>
          </cell>
        </row>
        <row r="1877">
          <cell r="A1877" t="str">
            <v>4305051700</v>
          </cell>
          <cell r="M1877">
            <v>-673300</v>
          </cell>
          <cell r="AR1877" t="str">
            <v>11001</v>
          </cell>
        </row>
        <row r="1878">
          <cell r="A1878" t="str">
            <v>4305051700</v>
          </cell>
          <cell r="M1878">
            <v>-134922</v>
          </cell>
          <cell r="AR1878" t="str">
            <v>11001</v>
          </cell>
        </row>
        <row r="1879">
          <cell r="A1879" t="str">
            <v>4305051700</v>
          </cell>
          <cell r="M1879">
            <v>-111283</v>
          </cell>
          <cell r="AR1879" t="str">
            <v>11001</v>
          </cell>
        </row>
        <row r="1880">
          <cell r="A1880" t="str">
            <v>4305051700</v>
          </cell>
          <cell r="M1880">
            <v>-385945</v>
          </cell>
          <cell r="AR1880" t="str">
            <v>11001</v>
          </cell>
        </row>
        <row r="1881">
          <cell r="A1881" t="str">
            <v>4305051700</v>
          </cell>
          <cell r="M1881">
            <v>-398680</v>
          </cell>
          <cell r="AR1881" t="str">
            <v>11001</v>
          </cell>
        </row>
        <row r="1882">
          <cell r="A1882" t="str">
            <v>4305051700</v>
          </cell>
          <cell r="M1882">
            <v>-198257</v>
          </cell>
          <cell r="AR1882" t="str">
            <v>11001</v>
          </cell>
        </row>
        <row r="1883">
          <cell r="A1883" t="str">
            <v>4305051700</v>
          </cell>
          <cell r="M1883">
            <v>-192045</v>
          </cell>
          <cell r="AR1883" t="str">
            <v>11001</v>
          </cell>
        </row>
        <row r="1884">
          <cell r="A1884" t="str">
            <v>4305051700</v>
          </cell>
          <cell r="M1884">
            <v>-43820</v>
          </cell>
          <cell r="AR1884" t="str">
            <v>11001</v>
          </cell>
        </row>
        <row r="1885">
          <cell r="A1885" t="str">
            <v>4305051700</v>
          </cell>
          <cell r="M1885">
            <v>-84975</v>
          </cell>
          <cell r="AR1885" t="str">
            <v>11001</v>
          </cell>
        </row>
        <row r="1886">
          <cell r="A1886" t="str">
            <v>4305051700</v>
          </cell>
          <cell r="M1886">
            <v>-100651</v>
          </cell>
          <cell r="AR1886" t="str">
            <v>11001</v>
          </cell>
        </row>
        <row r="1887">
          <cell r="A1887" t="str">
            <v>4305051700</v>
          </cell>
          <cell r="M1887">
            <v>-77758</v>
          </cell>
          <cell r="AR1887" t="str">
            <v>11001</v>
          </cell>
        </row>
        <row r="1888">
          <cell r="A1888" t="str">
            <v>4305051700</v>
          </cell>
          <cell r="M1888">
            <v>-171862</v>
          </cell>
          <cell r="AR1888" t="str">
            <v>11001</v>
          </cell>
        </row>
        <row r="1889">
          <cell r="A1889" t="str">
            <v>4305051700</v>
          </cell>
          <cell r="M1889">
            <v>-112245</v>
          </cell>
          <cell r="AR1889" t="str">
            <v>11001</v>
          </cell>
        </row>
        <row r="1890">
          <cell r="A1890" t="str">
            <v>4305051700</v>
          </cell>
          <cell r="M1890">
            <v>-55079</v>
          </cell>
          <cell r="AR1890" t="str">
            <v>11001</v>
          </cell>
        </row>
        <row r="1891">
          <cell r="A1891" t="str">
            <v>4305051700</v>
          </cell>
          <cell r="M1891">
            <v>-191010</v>
          </cell>
          <cell r="AR1891" t="str">
            <v>11001</v>
          </cell>
        </row>
        <row r="1892">
          <cell r="A1892" t="str">
            <v>4305051700</v>
          </cell>
          <cell r="M1892">
            <v>-144094</v>
          </cell>
          <cell r="AR1892" t="str">
            <v>11001</v>
          </cell>
        </row>
        <row r="1893">
          <cell r="A1893" t="str">
            <v>4305051700</v>
          </cell>
          <cell r="M1893">
            <v>-674412</v>
          </cell>
          <cell r="AR1893" t="str">
            <v>11001</v>
          </cell>
        </row>
        <row r="1894">
          <cell r="A1894" t="str">
            <v>4305051700</v>
          </cell>
          <cell r="M1894">
            <v>-33723</v>
          </cell>
          <cell r="AR1894" t="str">
            <v>11001</v>
          </cell>
        </row>
        <row r="1895">
          <cell r="A1895" t="str">
            <v>4305051700</v>
          </cell>
          <cell r="M1895">
            <v>-291390</v>
          </cell>
          <cell r="AR1895" t="str">
            <v>11001</v>
          </cell>
        </row>
        <row r="1896">
          <cell r="A1896" t="str">
            <v>4305051700</v>
          </cell>
          <cell r="M1896">
            <v>-138995</v>
          </cell>
          <cell r="AR1896" t="str">
            <v>11001</v>
          </cell>
        </row>
        <row r="1897">
          <cell r="A1897" t="str">
            <v>4305051700</v>
          </cell>
          <cell r="M1897">
            <v>-450075</v>
          </cell>
          <cell r="AR1897" t="str">
            <v>11001</v>
          </cell>
        </row>
        <row r="1898">
          <cell r="A1898" t="str">
            <v>4305051700</v>
          </cell>
          <cell r="M1898">
            <v>-374961</v>
          </cell>
          <cell r="AR1898" t="str">
            <v>11001</v>
          </cell>
        </row>
        <row r="1899">
          <cell r="A1899" t="str">
            <v>4305051700</v>
          </cell>
          <cell r="M1899">
            <v>-276539</v>
          </cell>
          <cell r="AR1899" t="str">
            <v>11001</v>
          </cell>
        </row>
        <row r="1900">
          <cell r="A1900" t="str">
            <v>4305051700</v>
          </cell>
          <cell r="M1900">
            <v>-179305</v>
          </cell>
          <cell r="AR1900" t="str">
            <v>11001</v>
          </cell>
        </row>
        <row r="1901">
          <cell r="A1901" t="str">
            <v>4305051700</v>
          </cell>
          <cell r="M1901">
            <v>-190578</v>
          </cell>
          <cell r="AR1901" t="str">
            <v>11001</v>
          </cell>
        </row>
        <row r="1902">
          <cell r="A1902" t="str">
            <v>4305051700</v>
          </cell>
          <cell r="M1902">
            <v>-46</v>
          </cell>
          <cell r="AR1902" t="str">
            <v>11001</v>
          </cell>
        </row>
        <row r="1903">
          <cell r="A1903" t="str">
            <v>4305051700</v>
          </cell>
          <cell r="M1903">
            <v>-275463</v>
          </cell>
          <cell r="AR1903" t="str">
            <v>11001</v>
          </cell>
        </row>
        <row r="1904">
          <cell r="A1904" t="str">
            <v>4305051700</v>
          </cell>
          <cell r="M1904">
            <v>-265064</v>
          </cell>
          <cell r="AR1904" t="str">
            <v>11001</v>
          </cell>
        </row>
        <row r="1905">
          <cell r="A1905" t="str">
            <v>4305051700</v>
          </cell>
          <cell r="M1905">
            <v>-422639</v>
          </cell>
          <cell r="AR1905" t="str">
            <v>11001</v>
          </cell>
        </row>
        <row r="1906">
          <cell r="A1906" t="str">
            <v>4305051700</v>
          </cell>
          <cell r="M1906">
            <v>-1114542</v>
          </cell>
          <cell r="AR1906" t="str">
            <v>11001</v>
          </cell>
        </row>
        <row r="1907">
          <cell r="A1907" t="str">
            <v>4305051700</v>
          </cell>
          <cell r="M1907">
            <v>-693291</v>
          </cell>
          <cell r="AR1907" t="str">
            <v>11001</v>
          </cell>
        </row>
        <row r="1908">
          <cell r="A1908" t="str">
            <v>4305051700</v>
          </cell>
          <cell r="M1908">
            <v>-309336</v>
          </cell>
          <cell r="AR1908" t="str">
            <v>11001</v>
          </cell>
        </row>
        <row r="1909">
          <cell r="A1909" t="str">
            <v>4305051700</v>
          </cell>
          <cell r="M1909">
            <v>-201141</v>
          </cell>
          <cell r="AR1909" t="str">
            <v>11001</v>
          </cell>
        </row>
        <row r="1910">
          <cell r="A1910" t="str">
            <v>4305051700</v>
          </cell>
          <cell r="M1910">
            <v>-391062</v>
          </cell>
          <cell r="AR1910" t="str">
            <v>11001</v>
          </cell>
        </row>
        <row r="1911">
          <cell r="A1911" t="str">
            <v>4305051700</v>
          </cell>
          <cell r="M1911">
            <v>-213208</v>
          </cell>
          <cell r="AR1911" t="str">
            <v>11001</v>
          </cell>
        </row>
        <row r="1912">
          <cell r="A1912" t="str">
            <v>4305051700</v>
          </cell>
          <cell r="M1912">
            <v>-6711</v>
          </cell>
          <cell r="AR1912" t="str">
            <v>11001</v>
          </cell>
        </row>
        <row r="1913">
          <cell r="A1913" t="str">
            <v>4305051700</v>
          </cell>
          <cell r="M1913">
            <v>-5363</v>
          </cell>
          <cell r="AR1913" t="str">
            <v>11001</v>
          </cell>
        </row>
        <row r="1914">
          <cell r="A1914" t="str">
            <v>4305051700</v>
          </cell>
          <cell r="M1914">
            <v>-219439</v>
          </cell>
          <cell r="AR1914" t="str">
            <v>11001</v>
          </cell>
        </row>
        <row r="1915">
          <cell r="A1915" t="str">
            <v>4305051700</v>
          </cell>
          <cell r="M1915">
            <v>-207391</v>
          </cell>
          <cell r="AR1915" t="str">
            <v>11001</v>
          </cell>
        </row>
        <row r="1916">
          <cell r="A1916" t="str">
            <v>4305051700</v>
          </cell>
          <cell r="M1916">
            <v>-86106</v>
          </cell>
          <cell r="AR1916" t="str">
            <v>11001</v>
          </cell>
        </row>
        <row r="1917">
          <cell r="A1917" t="str">
            <v>4305051700</v>
          </cell>
          <cell r="M1917">
            <v>-409998</v>
          </cell>
          <cell r="AR1917" t="str">
            <v>11001</v>
          </cell>
        </row>
        <row r="1918">
          <cell r="A1918" t="str">
            <v>4305051700</v>
          </cell>
          <cell r="M1918">
            <v>-372602</v>
          </cell>
          <cell r="AR1918" t="str">
            <v>11001</v>
          </cell>
        </row>
        <row r="1919">
          <cell r="A1919" t="str">
            <v>4305051700</v>
          </cell>
          <cell r="M1919">
            <v>-302892</v>
          </cell>
          <cell r="AR1919" t="str">
            <v>11001</v>
          </cell>
        </row>
        <row r="1920">
          <cell r="A1920" t="str">
            <v>4305051700</v>
          </cell>
          <cell r="M1920">
            <v>-286635</v>
          </cell>
          <cell r="AR1920" t="str">
            <v>11001</v>
          </cell>
        </row>
        <row r="1921">
          <cell r="A1921" t="str">
            <v>4305051700</v>
          </cell>
          <cell r="M1921">
            <v>-394443</v>
          </cell>
          <cell r="AR1921" t="str">
            <v>11001</v>
          </cell>
        </row>
        <row r="1922">
          <cell r="A1922" t="str">
            <v>4305051700</v>
          </cell>
          <cell r="M1922">
            <v>-169891</v>
          </cell>
          <cell r="AR1922" t="str">
            <v>11001</v>
          </cell>
        </row>
        <row r="1923">
          <cell r="A1923" t="str">
            <v>4305051700</v>
          </cell>
          <cell r="M1923">
            <v>-459334</v>
          </cell>
          <cell r="AR1923" t="str">
            <v>11001</v>
          </cell>
        </row>
        <row r="1924">
          <cell r="A1924" t="str">
            <v>4305051700</v>
          </cell>
          <cell r="M1924">
            <v>-305060</v>
          </cell>
          <cell r="AR1924" t="str">
            <v>11001</v>
          </cell>
        </row>
        <row r="1925">
          <cell r="A1925" t="str">
            <v>4305051700</v>
          </cell>
          <cell r="M1925">
            <v>-101235</v>
          </cell>
          <cell r="AR1925" t="str">
            <v>11001</v>
          </cell>
        </row>
        <row r="1926">
          <cell r="A1926" t="str">
            <v>4305051700</v>
          </cell>
          <cell r="M1926">
            <v>-367978</v>
          </cell>
          <cell r="AR1926" t="str">
            <v>11001</v>
          </cell>
        </row>
        <row r="1927">
          <cell r="A1927" t="str">
            <v>4305051700</v>
          </cell>
          <cell r="M1927">
            <v>-97423</v>
          </cell>
          <cell r="AR1927" t="str">
            <v>11001</v>
          </cell>
        </row>
        <row r="1928">
          <cell r="A1928" t="str">
            <v>4305051700</v>
          </cell>
          <cell r="M1928">
            <v>-672160</v>
          </cell>
          <cell r="AR1928" t="str">
            <v>11001</v>
          </cell>
        </row>
        <row r="1929">
          <cell r="A1929" t="str">
            <v>4305051700</v>
          </cell>
          <cell r="M1929">
            <v>-538969</v>
          </cell>
          <cell r="AR1929" t="str">
            <v>11001</v>
          </cell>
        </row>
        <row r="1930">
          <cell r="A1930" t="str">
            <v>4305051700</v>
          </cell>
          <cell r="M1930">
            <v>-197193</v>
          </cell>
          <cell r="AR1930" t="str">
            <v>11001</v>
          </cell>
        </row>
        <row r="1931">
          <cell r="A1931" t="str">
            <v>4305051700</v>
          </cell>
          <cell r="M1931">
            <v>-304353</v>
          </cell>
          <cell r="AR1931" t="str">
            <v>11001</v>
          </cell>
        </row>
        <row r="1932">
          <cell r="A1932" t="str">
            <v>4305051700</v>
          </cell>
          <cell r="M1932">
            <v>-135814</v>
          </cell>
          <cell r="AR1932" t="str">
            <v>11001</v>
          </cell>
        </row>
        <row r="1933">
          <cell r="A1933" t="str">
            <v>4305051700</v>
          </cell>
          <cell r="M1933">
            <v>-504046</v>
          </cell>
          <cell r="AR1933" t="str">
            <v>11001</v>
          </cell>
        </row>
        <row r="1934">
          <cell r="A1934" t="str">
            <v>4305051700</v>
          </cell>
          <cell r="M1934">
            <v>-153023</v>
          </cell>
          <cell r="AR1934" t="str">
            <v>11001</v>
          </cell>
        </row>
        <row r="1935">
          <cell r="A1935" t="str">
            <v>4305051700</v>
          </cell>
          <cell r="M1935">
            <v>-93602</v>
          </cell>
          <cell r="AR1935" t="str">
            <v>11001</v>
          </cell>
        </row>
        <row r="1936">
          <cell r="A1936" t="str">
            <v>4305051700</v>
          </cell>
          <cell r="M1936">
            <v>-512549</v>
          </cell>
          <cell r="AR1936" t="str">
            <v>11001</v>
          </cell>
        </row>
        <row r="1937">
          <cell r="A1937" t="str">
            <v>4305051700</v>
          </cell>
          <cell r="M1937">
            <v>-562807</v>
          </cell>
          <cell r="AR1937" t="str">
            <v>11001</v>
          </cell>
        </row>
        <row r="1938">
          <cell r="A1938" t="str">
            <v>4305051700</v>
          </cell>
          <cell r="M1938">
            <v>-86609</v>
          </cell>
          <cell r="AR1938" t="str">
            <v>11001</v>
          </cell>
        </row>
        <row r="1939">
          <cell r="A1939" t="str">
            <v>4305051700</v>
          </cell>
          <cell r="M1939">
            <v>-297345</v>
          </cell>
          <cell r="AR1939" t="str">
            <v>11001</v>
          </cell>
        </row>
        <row r="1940">
          <cell r="A1940" t="str">
            <v>4305051700</v>
          </cell>
          <cell r="M1940">
            <v>-75414</v>
          </cell>
          <cell r="AR1940" t="str">
            <v>11001</v>
          </cell>
        </row>
        <row r="1941">
          <cell r="A1941" t="str">
            <v>4305051700</v>
          </cell>
          <cell r="M1941">
            <v>-125232</v>
          </cell>
          <cell r="AR1941" t="str">
            <v>11001</v>
          </cell>
        </row>
        <row r="1942">
          <cell r="A1942" t="str">
            <v>4305051700</v>
          </cell>
          <cell r="M1942">
            <v>-378966</v>
          </cell>
          <cell r="AR1942" t="str">
            <v>11001</v>
          </cell>
        </row>
        <row r="1943">
          <cell r="A1943" t="str">
            <v>4305051700</v>
          </cell>
          <cell r="M1943">
            <v>-86764</v>
          </cell>
          <cell r="AR1943" t="str">
            <v>11001</v>
          </cell>
        </row>
        <row r="1944">
          <cell r="A1944" t="str">
            <v>4305051700</v>
          </cell>
          <cell r="M1944">
            <v>-193907</v>
          </cell>
          <cell r="AR1944" t="str">
            <v>11001</v>
          </cell>
        </row>
        <row r="1945">
          <cell r="A1945" t="str">
            <v>4305051700</v>
          </cell>
          <cell r="M1945">
            <v>-260418</v>
          </cell>
          <cell r="AR1945" t="str">
            <v>11001</v>
          </cell>
        </row>
        <row r="1946">
          <cell r="A1946" t="str">
            <v>4305051700</v>
          </cell>
          <cell r="M1946">
            <v>-288592</v>
          </cell>
          <cell r="AR1946" t="str">
            <v>11001</v>
          </cell>
        </row>
        <row r="1947">
          <cell r="A1947" t="str">
            <v>4305051700</v>
          </cell>
          <cell r="M1947">
            <v>-214925</v>
          </cell>
          <cell r="AR1947" t="str">
            <v>11001</v>
          </cell>
        </row>
        <row r="1948">
          <cell r="A1948" t="str">
            <v>4305051700</v>
          </cell>
          <cell r="M1948">
            <v>-175843</v>
          </cell>
          <cell r="AR1948" t="str">
            <v>11001</v>
          </cell>
        </row>
        <row r="1949">
          <cell r="A1949" t="str">
            <v>4305051700</v>
          </cell>
          <cell r="M1949">
            <v>-44914</v>
          </cell>
          <cell r="AR1949" t="str">
            <v>11001</v>
          </cell>
        </row>
        <row r="1950">
          <cell r="A1950" t="str">
            <v>4305051700</v>
          </cell>
          <cell r="M1950">
            <v>-13766</v>
          </cell>
          <cell r="AR1950" t="str">
            <v>11001</v>
          </cell>
        </row>
        <row r="1951">
          <cell r="A1951" t="str">
            <v>4305051700</v>
          </cell>
          <cell r="M1951">
            <v>-258825</v>
          </cell>
          <cell r="AR1951" t="str">
            <v>11001</v>
          </cell>
        </row>
        <row r="1952">
          <cell r="A1952" t="str">
            <v>4305051700</v>
          </cell>
          <cell r="M1952">
            <v>-131808</v>
          </cell>
          <cell r="AR1952" t="str">
            <v>11001</v>
          </cell>
        </row>
        <row r="1953">
          <cell r="A1953" t="str">
            <v>4305051700</v>
          </cell>
          <cell r="M1953">
            <v>101677</v>
          </cell>
          <cell r="AR1953" t="str">
            <v>11001</v>
          </cell>
        </row>
        <row r="1954">
          <cell r="A1954" t="str">
            <v>4305051700</v>
          </cell>
          <cell r="M1954">
            <v>-295766</v>
          </cell>
          <cell r="AR1954" t="str">
            <v>11001</v>
          </cell>
        </row>
        <row r="1955">
          <cell r="A1955" t="str">
            <v>4305051700</v>
          </cell>
          <cell r="M1955">
            <v>-101121</v>
          </cell>
          <cell r="AR1955" t="str">
            <v>11001</v>
          </cell>
        </row>
        <row r="1956">
          <cell r="A1956" t="str">
            <v>4305051700</v>
          </cell>
          <cell r="M1956">
            <v>-205569</v>
          </cell>
          <cell r="AR1956" t="str">
            <v>11001</v>
          </cell>
        </row>
        <row r="1957">
          <cell r="A1957" t="str">
            <v>4305051700</v>
          </cell>
          <cell r="M1957">
            <v>-238242</v>
          </cell>
          <cell r="AR1957" t="str">
            <v>11001</v>
          </cell>
        </row>
        <row r="1958">
          <cell r="A1958" t="str">
            <v>4305051700</v>
          </cell>
          <cell r="M1958">
            <v>-189667</v>
          </cell>
          <cell r="AR1958" t="str">
            <v>11001</v>
          </cell>
        </row>
        <row r="1959">
          <cell r="A1959" t="str">
            <v>4305051700</v>
          </cell>
          <cell r="M1959">
            <v>-130222</v>
          </cell>
          <cell r="AR1959" t="str">
            <v>11001</v>
          </cell>
        </row>
        <row r="1960">
          <cell r="A1960" t="str">
            <v>4305051700</v>
          </cell>
          <cell r="M1960">
            <v>-189349</v>
          </cell>
          <cell r="AR1960" t="str">
            <v>11001</v>
          </cell>
        </row>
        <row r="1961">
          <cell r="A1961" t="str">
            <v>4305051700</v>
          </cell>
          <cell r="M1961">
            <v>-197193</v>
          </cell>
          <cell r="AR1961" t="str">
            <v>11001</v>
          </cell>
        </row>
        <row r="1962">
          <cell r="A1962" t="str">
            <v>4305051700</v>
          </cell>
          <cell r="M1962">
            <v>-190830</v>
          </cell>
          <cell r="AR1962" t="str">
            <v>11001</v>
          </cell>
        </row>
        <row r="1963">
          <cell r="A1963" t="str">
            <v>4305051700</v>
          </cell>
          <cell r="M1963">
            <v>-509309</v>
          </cell>
          <cell r="AR1963" t="str">
            <v>11001</v>
          </cell>
        </row>
        <row r="1964">
          <cell r="A1964" t="str">
            <v>4305051700</v>
          </cell>
          <cell r="M1964">
            <v>-340981</v>
          </cell>
          <cell r="AR1964" t="str">
            <v>11001</v>
          </cell>
        </row>
        <row r="1965">
          <cell r="A1965" t="str">
            <v>4305051700</v>
          </cell>
          <cell r="M1965">
            <v>-165666</v>
          </cell>
          <cell r="AR1965" t="str">
            <v>11001</v>
          </cell>
        </row>
        <row r="1966">
          <cell r="A1966" t="str">
            <v>4305051700</v>
          </cell>
          <cell r="M1966">
            <v>-86377</v>
          </cell>
          <cell r="AR1966" t="str">
            <v>11001</v>
          </cell>
        </row>
        <row r="1967">
          <cell r="A1967" t="str">
            <v>4305051700</v>
          </cell>
          <cell r="M1967">
            <v>-60924</v>
          </cell>
          <cell r="AR1967" t="str">
            <v>11001</v>
          </cell>
        </row>
        <row r="1968">
          <cell r="A1968" t="str">
            <v>4305051700</v>
          </cell>
          <cell r="M1968">
            <v>-267786</v>
          </cell>
          <cell r="AR1968" t="str">
            <v>11001</v>
          </cell>
        </row>
        <row r="1969">
          <cell r="A1969" t="str">
            <v>4305051700</v>
          </cell>
          <cell r="M1969">
            <v>-110820</v>
          </cell>
          <cell r="AR1969" t="str">
            <v>11001</v>
          </cell>
        </row>
        <row r="1970">
          <cell r="A1970" t="str">
            <v>4305051700</v>
          </cell>
          <cell r="M1970">
            <v>-32225</v>
          </cell>
          <cell r="AR1970" t="str">
            <v>11001</v>
          </cell>
        </row>
        <row r="1971">
          <cell r="A1971" t="str">
            <v>4305051700</v>
          </cell>
          <cell r="M1971">
            <v>-11421</v>
          </cell>
          <cell r="AR1971" t="str">
            <v>11001</v>
          </cell>
        </row>
        <row r="1972">
          <cell r="A1972" t="str">
            <v>4305051700</v>
          </cell>
          <cell r="M1972">
            <v>-8614</v>
          </cell>
          <cell r="AR1972" t="str">
            <v>11001</v>
          </cell>
        </row>
        <row r="1973">
          <cell r="A1973" t="str">
            <v>4305051700</v>
          </cell>
          <cell r="M1973">
            <v>-64536</v>
          </cell>
          <cell r="AR1973" t="str">
            <v>11001</v>
          </cell>
        </row>
        <row r="1974">
          <cell r="A1974" t="str">
            <v>4305051700</v>
          </cell>
          <cell r="M1974">
            <v>-66981</v>
          </cell>
          <cell r="AR1974" t="str">
            <v>11001</v>
          </cell>
        </row>
        <row r="1975">
          <cell r="A1975" t="str">
            <v>4305051700</v>
          </cell>
          <cell r="M1975">
            <v>-59572</v>
          </cell>
          <cell r="AR1975" t="str">
            <v>11001</v>
          </cell>
        </row>
        <row r="1976">
          <cell r="A1976" t="str">
            <v>4305051700</v>
          </cell>
          <cell r="M1976">
            <v>-7382</v>
          </cell>
          <cell r="AR1976" t="str">
            <v>11001</v>
          </cell>
        </row>
        <row r="1977">
          <cell r="A1977" t="str">
            <v>4305051700</v>
          </cell>
          <cell r="M1977">
            <v>-781549</v>
          </cell>
          <cell r="AR1977" t="str">
            <v>11001</v>
          </cell>
        </row>
        <row r="1978">
          <cell r="A1978" t="str">
            <v>4305051700</v>
          </cell>
          <cell r="M1978">
            <v>-405719</v>
          </cell>
          <cell r="AR1978" t="str">
            <v>11001</v>
          </cell>
        </row>
        <row r="1979">
          <cell r="A1979" t="str">
            <v>4305051700</v>
          </cell>
          <cell r="M1979">
            <v>-654</v>
          </cell>
          <cell r="AR1979" t="str">
            <v>11001</v>
          </cell>
        </row>
        <row r="1980">
          <cell r="A1980" t="str">
            <v>4305051700</v>
          </cell>
          <cell r="M1980">
            <v>-57846</v>
          </cell>
          <cell r="AR1980" t="str">
            <v>11001</v>
          </cell>
        </row>
        <row r="1981">
          <cell r="A1981" t="str">
            <v>4305051700</v>
          </cell>
          <cell r="M1981">
            <v>-173414</v>
          </cell>
          <cell r="AR1981" t="str">
            <v>11001</v>
          </cell>
        </row>
        <row r="1982">
          <cell r="A1982" t="str">
            <v>4305051700</v>
          </cell>
          <cell r="M1982">
            <v>-64976</v>
          </cell>
          <cell r="AR1982" t="str">
            <v>11001</v>
          </cell>
        </row>
        <row r="1983">
          <cell r="A1983" t="str">
            <v>4305051700</v>
          </cell>
          <cell r="M1983">
            <v>-123434</v>
          </cell>
          <cell r="AR1983" t="str">
            <v>11001</v>
          </cell>
        </row>
        <row r="1984">
          <cell r="A1984" t="str">
            <v>4305051700</v>
          </cell>
          <cell r="M1984">
            <v>-24838</v>
          </cell>
          <cell r="AR1984" t="str">
            <v>11001</v>
          </cell>
        </row>
        <row r="1985">
          <cell r="A1985" t="str">
            <v>4305051700</v>
          </cell>
          <cell r="M1985">
            <v>49387</v>
          </cell>
          <cell r="AR1985" t="str">
            <v>11001</v>
          </cell>
        </row>
        <row r="1986">
          <cell r="A1986" t="str">
            <v>4305051700</v>
          </cell>
          <cell r="M1986">
            <v>-8834</v>
          </cell>
          <cell r="AR1986" t="str">
            <v>11001</v>
          </cell>
        </row>
        <row r="1987">
          <cell r="A1987" t="str">
            <v>4305051700</v>
          </cell>
          <cell r="M1987">
            <v>-51206</v>
          </cell>
          <cell r="AR1987" t="str">
            <v>11001</v>
          </cell>
        </row>
        <row r="1988">
          <cell r="A1988" t="str">
            <v>4305051700</v>
          </cell>
          <cell r="M1988">
            <v>-230591</v>
          </cell>
          <cell r="AR1988" t="str">
            <v>11001</v>
          </cell>
        </row>
        <row r="1989">
          <cell r="A1989" t="str">
            <v>4305051700</v>
          </cell>
          <cell r="M1989">
            <v>-370202</v>
          </cell>
          <cell r="AR1989" t="str">
            <v>11001</v>
          </cell>
        </row>
        <row r="1990">
          <cell r="A1990" t="str">
            <v>4305051700</v>
          </cell>
          <cell r="M1990">
            <v>-81212</v>
          </cell>
          <cell r="AR1990" t="str">
            <v>11001</v>
          </cell>
        </row>
        <row r="1991">
          <cell r="A1991" t="str">
            <v>4305051700</v>
          </cell>
          <cell r="M1991">
            <v>-333459</v>
          </cell>
          <cell r="AR1991" t="str">
            <v>11001</v>
          </cell>
        </row>
        <row r="1992">
          <cell r="A1992" t="str">
            <v>4305051700</v>
          </cell>
          <cell r="M1992">
            <v>-291614</v>
          </cell>
          <cell r="AR1992" t="str">
            <v>11001</v>
          </cell>
        </row>
        <row r="1993">
          <cell r="A1993" t="str">
            <v>4305051700</v>
          </cell>
          <cell r="M1993">
            <v>-184741</v>
          </cell>
          <cell r="AR1993" t="str">
            <v>11001</v>
          </cell>
        </row>
        <row r="1994">
          <cell r="A1994" t="str">
            <v>4305051700</v>
          </cell>
          <cell r="M1994">
            <v>-284381</v>
          </cell>
          <cell r="AR1994" t="str">
            <v>11001</v>
          </cell>
        </row>
        <row r="1995">
          <cell r="A1995" t="str">
            <v>4305051700</v>
          </cell>
          <cell r="M1995">
            <v>-42014</v>
          </cell>
          <cell r="AR1995" t="str">
            <v>11001</v>
          </cell>
        </row>
        <row r="1996">
          <cell r="A1996" t="str">
            <v>4305051700</v>
          </cell>
          <cell r="M1996">
            <v>-508377</v>
          </cell>
          <cell r="AR1996" t="str">
            <v>11001</v>
          </cell>
        </row>
        <row r="1997">
          <cell r="A1997" t="str">
            <v>4305051700</v>
          </cell>
          <cell r="M1997">
            <v>-347990</v>
          </cell>
          <cell r="AR1997" t="str">
            <v>11001</v>
          </cell>
        </row>
        <row r="1998">
          <cell r="A1998" t="str">
            <v>4305051700</v>
          </cell>
          <cell r="M1998">
            <v>-385658</v>
          </cell>
          <cell r="AR1998" t="str">
            <v>11001</v>
          </cell>
        </row>
        <row r="1999">
          <cell r="A1999" t="str">
            <v>4305051700</v>
          </cell>
          <cell r="M1999">
            <v>-165070</v>
          </cell>
          <cell r="AR1999" t="str">
            <v>11001</v>
          </cell>
        </row>
        <row r="2000">
          <cell r="A2000" t="str">
            <v>4305051700</v>
          </cell>
          <cell r="M2000">
            <v>-175983</v>
          </cell>
          <cell r="AR2000" t="str">
            <v>11001</v>
          </cell>
        </row>
        <row r="2001">
          <cell r="A2001" t="str">
            <v>4305051700</v>
          </cell>
          <cell r="M2001">
            <v>-67</v>
          </cell>
          <cell r="AR2001" t="str">
            <v>11001</v>
          </cell>
        </row>
        <row r="2002">
          <cell r="A2002" t="str">
            <v>4305051700</v>
          </cell>
          <cell r="M2002">
            <v>-372134</v>
          </cell>
          <cell r="AR2002" t="str">
            <v>11001</v>
          </cell>
        </row>
        <row r="2003">
          <cell r="A2003" t="str">
            <v>4305051700</v>
          </cell>
          <cell r="M2003">
            <v>-676589</v>
          </cell>
          <cell r="AR2003" t="str">
            <v>11001</v>
          </cell>
        </row>
        <row r="2004">
          <cell r="A2004" t="str">
            <v>4305051700</v>
          </cell>
          <cell r="M2004">
            <v>-134744</v>
          </cell>
          <cell r="AR2004" t="str">
            <v>11001</v>
          </cell>
        </row>
        <row r="2005">
          <cell r="A2005" t="str">
            <v>4305051700</v>
          </cell>
          <cell r="M2005">
            <v>-182719</v>
          </cell>
          <cell r="AR2005" t="str">
            <v>11001</v>
          </cell>
        </row>
        <row r="2006">
          <cell r="A2006" t="str">
            <v>4305051700</v>
          </cell>
          <cell r="M2006">
            <v>-80710</v>
          </cell>
          <cell r="AR2006" t="str">
            <v>11001</v>
          </cell>
        </row>
        <row r="2007">
          <cell r="A2007" t="str">
            <v>4305051700</v>
          </cell>
          <cell r="M2007">
            <v>-105187</v>
          </cell>
          <cell r="AR2007" t="str">
            <v>11001</v>
          </cell>
        </row>
        <row r="2008">
          <cell r="A2008" t="str">
            <v>4305051700</v>
          </cell>
          <cell r="M2008">
            <v>-153643</v>
          </cell>
          <cell r="AR2008" t="str">
            <v>11001</v>
          </cell>
        </row>
        <row r="2009">
          <cell r="A2009" t="str">
            <v>4305051700</v>
          </cell>
          <cell r="M2009">
            <v>-108008</v>
          </cell>
          <cell r="AR2009" t="str">
            <v>11001</v>
          </cell>
        </row>
        <row r="2010">
          <cell r="A2010" t="str">
            <v>4305051700</v>
          </cell>
          <cell r="M2010">
            <v>-599569</v>
          </cell>
          <cell r="AR2010" t="str">
            <v>11001</v>
          </cell>
        </row>
        <row r="2011">
          <cell r="A2011" t="str">
            <v>4305051700</v>
          </cell>
          <cell r="M2011">
            <v>-155014</v>
          </cell>
          <cell r="AR2011" t="str">
            <v>11001</v>
          </cell>
        </row>
        <row r="2012">
          <cell r="A2012" t="str">
            <v>4305051700</v>
          </cell>
          <cell r="M2012">
            <v>-38263</v>
          </cell>
          <cell r="AR2012" t="str">
            <v>11001</v>
          </cell>
        </row>
        <row r="2013">
          <cell r="A2013" t="str">
            <v>4305051700</v>
          </cell>
          <cell r="M2013">
            <v>-3939</v>
          </cell>
          <cell r="AR2013" t="str">
            <v>11001</v>
          </cell>
        </row>
        <row r="2014">
          <cell r="A2014" t="str">
            <v>4305051700</v>
          </cell>
          <cell r="M2014">
            <v>-302892</v>
          </cell>
          <cell r="AR2014" t="str">
            <v>11001</v>
          </cell>
        </row>
        <row r="2015">
          <cell r="A2015" t="str">
            <v>4305051700</v>
          </cell>
          <cell r="M2015">
            <v>-121540</v>
          </cell>
          <cell r="AR2015" t="str">
            <v>11001</v>
          </cell>
        </row>
        <row r="2016">
          <cell r="A2016" t="str">
            <v>4305051700</v>
          </cell>
          <cell r="M2016">
            <v>-111543</v>
          </cell>
          <cell r="AR2016" t="str">
            <v>11001</v>
          </cell>
        </row>
        <row r="2017">
          <cell r="A2017" t="str">
            <v>4305051700</v>
          </cell>
          <cell r="M2017">
            <v>-283780</v>
          </cell>
          <cell r="AR2017" t="str">
            <v>11001</v>
          </cell>
        </row>
        <row r="2018">
          <cell r="A2018" t="str">
            <v>4305051700</v>
          </cell>
          <cell r="M2018">
            <v>-458761</v>
          </cell>
          <cell r="AR2018" t="str">
            <v>11001</v>
          </cell>
        </row>
        <row r="2019">
          <cell r="A2019" t="str">
            <v>4305051700</v>
          </cell>
          <cell r="M2019">
            <v>-241457</v>
          </cell>
          <cell r="AR2019" t="str">
            <v>11001</v>
          </cell>
        </row>
        <row r="2020">
          <cell r="A2020" t="str">
            <v>4305051700</v>
          </cell>
          <cell r="M2020">
            <v>-212390</v>
          </cell>
          <cell r="AR2020" t="str">
            <v>11001</v>
          </cell>
        </row>
        <row r="2021">
          <cell r="A2021" t="str">
            <v>4305051700</v>
          </cell>
          <cell r="M2021">
            <v>-85915</v>
          </cell>
          <cell r="AR2021" t="str">
            <v>11001</v>
          </cell>
        </row>
        <row r="2022">
          <cell r="A2022" t="str">
            <v>4305051700</v>
          </cell>
          <cell r="M2022">
            <v>-69076</v>
          </cell>
          <cell r="AR2022" t="str">
            <v>11001</v>
          </cell>
        </row>
        <row r="2023">
          <cell r="A2023" t="str">
            <v>4305051700</v>
          </cell>
          <cell r="M2023">
            <v>-292718</v>
          </cell>
          <cell r="AR2023" t="str">
            <v>11001</v>
          </cell>
        </row>
        <row r="2024">
          <cell r="A2024" t="str">
            <v>4305051700</v>
          </cell>
          <cell r="M2024">
            <v>-284135</v>
          </cell>
          <cell r="AR2024" t="str">
            <v>11001</v>
          </cell>
        </row>
        <row r="2025">
          <cell r="A2025" t="str">
            <v>4305051700</v>
          </cell>
          <cell r="M2025">
            <v>-51940</v>
          </cell>
          <cell r="AR2025" t="str">
            <v>11001</v>
          </cell>
        </row>
        <row r="2026">
          <cell r="A2026" t="str">
            <v>4305051700</v>
          </cell>
          <cell r="M2026">
            <v>-87133</v>
          </cell>
          <cell r="AR2026" t="str">
            <v>11001</v>
          </cell>
        </row>
        <row r="2027">
          <cell r="A2027" t="str">
            <v>4305051700</v>
          </cell>
          <cell r="M2027">
            <v>-582413</v>
          </cell>
          <cell r="AR2027" t="str">
            <v>11001</v>
          </cell>
        </row>
        <row r="2028">
          <cell r="A2028" t="str">
            <v>4305051700</v>
          </cell>
          <cell r="M2028">
            <v>-200984</v>
          </cell>
          <cell r="AR2028" t="str">
            <v>11001</v>
          </cell>
        </row>
        <row r="2029">
          <cell r="A2029" t="str">
            <v>4305051700</v>
          </cell>
          <cell r="M2029">
            <v>-60274</v>
          </cell>
          <cell r="AR2029" t="str">
            <v>11001</v>
          </cell>
        </row>
        <row r="2030">
          <cell r="A2030" t="str">
            <v>4305051700</v>
          </cell>
          <cell r="M2030">
            <v>-123005</v>
          </cell>
          <cell r="AR2030" t="str">
            <v>11001</v>
          </cell>
        </row>
        <row r="2031">
          <cell r="A2031" t="str">
            <v>4305051700</v>
          </cell>
          <cell r="M2031">
            <v>-286635</v>
          </cell>
          <cell r="AR2031" t="str">
            <v>11001</v>
          </cell>
        </row>
        <row r="2032">
          <cell r="A2032" t="str">
            <v>4305051700</v>
          </cell>
          <cell r="M2032">
            <v>-343949</v>
          </cell>
          <cell r="AR2032" t="str">
            <v>11001</v>
          </cell>
        </row>
        <row r="2033">
          <cell r="A2033" t="str">
            <v>4305051700</v>
          </cell>
          <cell r="M2033">
            <v>-247220</v>
          </cell>
          <cell r="AR2033" t="str">
            <v>11001</v>
          </cell>
        </row>
        <row r="2034">
          <cell r="A2034" t="str">
            <v>4305051700</v>
          </cell>
          <cell r="M2034">
            <v>-200434</v>
          </cell>
          <cell r="AR2034" t="str">
            <v>11001</v>
          </cell>
        </row>
        <row r="2035">
          <cell r="A2035" t="str">
            <v>4305051700</v>
          </cell>
          <cell r="M2035">
            <v>-56391</v>
          </cell>
          <cell r="AR2035" t="str">
            <v>11001</v>
          </cell>
        </row>
        <row r="2036">
          <cell r="A2036" t="str">
            <v>4305051700</v>
          </cell>
          <cell r="M2036">
            <v>-191270</v>
          </cell>
          <cell r="AR2036" t="str">
            <v>11001</v>
          </cell>
        </row>
        <row r="2037">
          <cell r="A2037" t="str">
            <v>4305051700</v>
          </cell>
          <cell r="M2037">
            <v>-229907</v>
          </cell>
          <cell r="AR2037" t="str">
            <v>11001</v>
          </cell>
        </row>
        <row r="2038">
          <cell r="A2038" t="str">
            <v>4305051700</v>
          </cell>
          <cell r="M2038">
            <v>-22599</v>
          </cell>
          <cell r="AR2038" t="str">
            <v>11001</v>
          </cell>
        </row>
        <row r="2039">
          <cell r="A2039" t="str">
            <v>4305051700</v>
          </cell>
          <cell r="M2039">
            <v>-92448</v>
          </cell>
          <cell r="AR2039" t="str">
            <v>11001</v>
          </cell>
        </row>
        <row r="2040">
          <cell r="A2040" t="str">
            <v>4305051700</v>
          </cell>
          <cell r="M2040">
            <v>-376095</v>
          </cell>
          <cell r="AR2040" t="str">
            <v>11001</v>
          </cell>
        </row>
        <row r="2041">
          <cell r="A2041" t="str">
            <v>4305051700</v>
          </cell>
          <cell r="M2041">
            <v>-364078</v>
          </cell>
          <cell r="AR2041" t="str">
            <v>11001</v>
          </cell>
        </row>
        <row r="2042">
          <cell r="A2042" t="str">
            <v>4305051700</v>
          </cell>
          <cell r="M2042">
            <v>-311709</v>
          </cell>
          <cell r="AR2042" t="str">
            <v>11001</v>
          </cell>
        </row>
        <row r="2043">
          <cell r="A2043" t="str">
            <v>4305051700</v>
          </cell>
          <cell r="M2043">
            <v>-299812</v>
          </cell>
          <cell r="AR2043" t="str">
            <v>11001</v>
          </cell>
        </row>
        <row r="2044">
          <cell r="A2044" t="str">
            <v>4305051700</v>
          </cell>
          <cell r="M2044">
            <v>-260139</v>
          </cell>
          <cell r="AR2044" t="str">
            <v>11001</v>
          </cell>
        </row>
        <row r="2045">
          <cell r="A2045" t="str">
            <v>4305051700</v>
          </cell>
          <cell r="M2045">
            <v>109840</v>
          </cell>
          <cell r="AR2045" t="str">
            <v>11001</v>
          </cell>
        </row>
        <row r="2046">
          <cell r="A2046" t="str">
            <v>4305051700</v>
          </cell>
          <cell r="M2046">
            <v>-176123</v>
          </cell>
          <cell r="AR2046" t="str">
            <v>11001</v>
          </cell>
        </row>
        <row r="2047">
          <cell r="A2047" t="str">
            <v>4305051700</v>
          </cell>
          <cell r="M2047">
            <v>-208019</v>
          </cell>
          <cell r="AR2047" t="str">
            <v>11001</v>
          </cell>
        </row>
        <row r="2048">
          <cell r="A2048" t="str">
            <v>4305051700</v>
          </cell>
          <cell r="M2048">
            <v>-18087</v>
          </cell>
          <cell r="AR2048" t="str">
            <v>11001</v>
          </cell>
        </row>
        <row r="2049">
          <cell r="A2049" t="str">
            <v>4305051700</v>
          </cell>
          <cell r="M2049">
            <v>-109647</v>
          </cell>
          <cell r="AR2049" t="str">
            <v>11001</v>
          </cell>
        </row>
        <row r="2050">
          <cell r="A2050" t="str">
            <v>4305051700</v>
          </cell>
          <cell r="M2050">
            <v>-261815</v>
          </cell>
          <cell r="AR2050" t="str">
            <v>11001</v>
          </cell>
        </row>
        <row r="2051">
          <cell r="A2051" t="str">
            <v>4305051700</v>
          </cell>
          <cell r="M2051">
            <v>-152361</v>
          </cell>
          <cell r="AR2051" t="str">
            <v>11001</v>
          </cell>
        </row>
        <row r="2052">
          <cell r="A2052" t="str">
            <v>4305051700</v>
          </cell>
          <cell r="M2052">
            <v>-676559</v>
          </cell>
          <cell r="AR2052" t="str">
            <v>11001</v>
          </cell>
        </row>
        <row r="2053">
          <cell r="A2053" t="str">
            <v>4305051700</v>
          </cell>
          <cell r="M2053">
            <v>-345310</v>
          </cell>
          <cell r="AR2053" t="str">
            <v>11001</v>
          </cell>
        </row>
        <row r="2054">
          <cell r="A2054" t="str">
            <v>4305051700</v>
          </cell>
          <cell r="M2054">
            <v>-324322</v>
          </cell>
          <cell r="AR2054" t="str">
            <v>11001</v>
          </cell>
        </row>
        <row r="2055">
          <cell r="A2055" t="str">
            <v>4305051700</v>
          </cell>
          <cell r="M2055">
            <v>-396542</v>
          </cell>
          <cell r="AR2055" t="str">
            <v>11001</v>
          </cell>
        </row>
        <row r="2056">
          <cell r="A2056" t="str">
            <v>4305051700</v>
          </cell>
          <cell r="M2056">
            <v>-505508</v>
          </cell>
          <cell r="AR2056" t="str">
            <v>11001</v>
          </cell>
        </row>
        <row r="2057">
          <cell r="A2057" t="str">
            <v>4305051700</v>
          </cell>
          <cell r="M2057">
            <v>-405719</v>
          </cell>
          <cell r="AR2057" t="str">
            <v>11001</v>
          </cell>
        </row>
        <row r="2058">
          <cell r="A2058" t="str">
            <v>4305051700</v>
          </cell>
          <cell r="M2058">
            <v>-84675</v>
          </cell>
          <cell r="AR2058" t="str">
            <v>11001</v>
          </cell>
        </row>
        <row r="2059">
          <cell r="A2059" t="str">
            <v>4305051700</v>
          </cell>
          <cell r="M2059">
            <v>-679613</v>
          </cell>
          <cell r="AR2059" t="str">
            <v>11001</v>
          </cell>
        </row>
        <row r="2060">
          <cell r="A2060" t="str">
            <v>4305051700</v>
          </cell>
          <cell r="M2060">
            <v>-220920</v>
          </cell>
          <cell r="AR2060" t="str">
            <v>11001</v>
          </cell>
        </row>
        <row r="2061">
          <cell r="A2061" t="str">
            <v>4305051700</v>
          </cell>
          <cell r="M2061">
            <v>-284984</v>
          </cell>
          <cell r="AR2061" t="str">
            <v>11001</v>
          </cell>
        </row>
        <row r="2062">
          <cell r="A2062" t="str">
            <v>4305051700</v>
          </cell>
          <cell r="M2062">
            <v>-402652</v>
          </cell>
          <cell r="AR2062" t="str">
            <v>11001</v>
          </cell>
        </row>
        <row r="2063">
          <cell r="A2063" t="str">
            <v>4305051700</v>
          </cell>
          <cell r="M2063">
            <v>-369888</v>
          </cell>
          <cell r="AR2063" t="str">
            <v>11001</v>
          </cell>
        </row>
        <row r="2064">
          <cell r="A2064" t="str">
            <v>4305051700</v>
          </cell>
          <cell r="M2064">
            <v>-109802</v>
          </cell>
          <cell r="AR2064" t="str">
            <v>11001</v>
          </cell>
        </row>
        <row r="2065">
          <cell r="A2065" t="str">
            <v>4305051700</v>
          </cell>
          <cell r="M2065">
            <v>-76341</v>
          </cell>
          <cell r="AR2065" t="str">
            <v>11001</v>
          </cell>
        </row>
        <row r="2066">
          <cell r="A2066" t="str">
            <v>4305051700</v>
          </cell>
          <cell r="M2066">
            <v>-212980</v>
          </cell>
          <cell r="AR2066" t="str">
            <v>11001</v>
          </cell>
        </row>
        <row r="2067">
          <cell r="A2067" t="str">
            <v>4305051700</v>
          </cell>
          <cell r="M2067">
            <v>-155612</v>
          </cell>
          <cell r="AR2067" t="str">
            <v>11001</v>
          </cell>
        </row>
        <row r="2068">
          <cell r="A2068" t="str">
            <v>4305051700</v>
          </cell>
          <cell r="M2068">
            <v>-192961</v>
          </cell>
          <cell r="AR2068" t="str">
            <v>11001</v>
          </cell>
        </row>
        <row r="2069">
          <cell r="A2069" t="str">
            <v>4305051700</v>
          </cell>
          <cell r="M2069">
            <v>-501070</v>
          </cell>
          <cell r="AR2069" t="str">
            <v>11001</v>
          </cell>
        </row>
        <row r="2070">
          <cell r="A2070" t="str">
            <v>4305051700</v>
          </cell>
          <cell r="M2070">
            <v>-25653</v>
          </cell>
          <cell r="AR2070" t="str">
            <v>11001</v>
          </cell>
        </row>
        <row r="2071">
          <cell r="A2071" t="str">
            <v>4305051700</v>
          </cell>
          <cell r="M2071">
            <v>-1603</v>
          </cell>
          <cell r="AR2071" t="str">
            <v>11001</v>
          </cell>
        </row>
        <row r="2072">
          <cell r="A2072" t="str">
            <v>4305051700</v>
          </cell>
          <cell r="M2072">
            <v>-565229</v>
          </cell>
          <cell r="AR2072" t="str">
            <v>11001</v>
          </cell>
        </row>
        <row r="2073">
          <cell r="A2073" t="str">
            <v>4305051700</v>
          </cell>
          <cell r="M2073">
            <v>-204508</v>
          </cell>
          <cell r="AR2073" t="str">
            <v>11001</v>
          </cell>
        </row>
        <row r="2074">
          <cell r="A2074" t="str">
            <v>4305051700</v>
          </cell>
          <cell r="M2074">
            <v>-333552</v>
          </cell>
          <cell r="AR2074" t="str">
            <v>11001</v>
          </cell>
        </row>
        <row r="2075">
          <cell r="A2075" t="str">
            <v>4305051700</v>
          </cell>
          <cell r="M2075">
            <v>-46048</v>
          </cell>
          <cell r="AR2075" t="str">
            <v>11001</v>
          </cell>
        </row>
        <row r="2076">
          <cell r="A2076" t="str">
            <v>4305051700</v>
          </cell>
          <cell r="M2076">
            <v>-283013</v>
          </cell>
          <cell r="AR2076" t="str">
            <v>11001</v>
          </cell>
        </row>
        <row r="2077">
          <cell r="A2077" t="str">
            <v>4305051700</v>
          </cell>
          <cell r="M2077">
            <v>-255397</v>
          </cell>
          <cell r="AR2077" t="str">
            <v>11001</v>
          </cell>
        </row>
        <row r="2078">
          <cell r="A2078" t="str">
            <v>4305051700</v>
          </cell>
          <cell r="M2078">
            <v>-403382</v>
          </cell>
          <cell r="AR2078" t="str">
            <v>11001</v>
          </cell>
        </row>
        <row r="2079">
          <cell r="A2079" t="str">
            <v>4305051700</v>
          </cell>
          <cell r="M2079">
            <v>-301920</v>
          </cell>
          <cell r="AR2079" t="str">
            <v>11001</v>
          </cell>
        </row>
        <row r="2080">
          <cell r="A2080" t="str">
            <v>4305051700</v>
          </cell>
          <cell r="M2080">
            <v>-422616</v>
          </cell>
          <cell r="AR2080" t="str">
            <v>11001</v>
          </cell>
        </row>
        <row r="2081">
          <cell r="A2081" t="str">
            <v>4305051700</v>
          </cell>
          <cell r="M2081">
            <v>-87452</v>
          </cell>
          <cell r="AR2081" t="str">
            <v>11001</v>
          </cell>
        </row>
        <row r="2082">
          <cell r="A2082" t="str">
            <v>4305051700</v>
          </cell>
          <cell r="M2082">
            <v>-322955</v>
          </cell>
          <cell r="AR2082" t="str">
            <v>11001</v>
          </cell>
        </row>
        <row r="2083">
          <cell r="A2083" t="str">
            <v>4305051700</v>
          </cell>
          <cell r="M2083">
            <v>-72622</v>
          </cell>
          <cell r="AR2083" t="str">
            <v>11001</v>
          </cell>
        </row>
        <row r="2084">
          <cell r="A2084" t="str">
            <v>4305051700</v>
          </cell>
          <cell r="M2084">
            <v>-139514</v>
          </cell>
          <cell r="AR2084" t="str">
            <v>11001</v>
          </cell>
        </row>
        <row r="2085">
          <cell r="A2085" t="str">
            <v>4305051700</v>
          </cell>
          <cell r="M2085">
            <v>-323608</v>
          </cell>
          <cell r="AR2085" t="str">
            <v>11001</v>
          </cell>
        </row>
        <row r="2086">
          <cell r="A2086" t="str">
            <v>4305051700</v>
          </cell>
          <cell r="M2086">
            <v>-2852</v>
          </cell>
          <cell r="AR2086" t="str">
            <v>11001</v>
          </cell>
        </row>
        <row r="2087">
          <cell r="A2087" t="str">
            <v>4305051700</v>
          </cell>
          <cell r="M2087">
            <v>-422639</v>
          </cell>
          <cell r="AR2087" t="str">
            <v>11001</v>
          </cell>
        </row>
        <row r="2088">
          <cell r="A2088" t="str">
            <v>4305051700</v>
          </cell>
          <cell r="M2088">
            <v>-107529</v>
          </cell>
          <cell r="AR2088" t="str">
            <v>11001</v>
          </cell>
        </row>
        <row r="2089">
          <cell r="A2089" t="str">
            <v>4305051700</v>
          </cell>
          <cell r="M2089">
            <v>-257072</v>
          </cell>
          <cell r="AR2089" t="str">
            <v>11001</v>
          </cell>
        </row>
        <row r="2090">
          <cell r="A2090" t="str">
            <v>4305051700</v>
          </cell>
          <cell r="M2090">
            <v>-143820</v>
          </cell>
          <cell r="AR2090" t="str">
            <v>11001</v>
          </cell>
        </row>
        <row r="2091">
          <cell r="A2091" t="str">
            <v>4305051700</v>
          </cell>
          <cell r="M2091">
            <v>-244307</v>
          </cell>
          <cell r="AR2091" t="str">
            <v>11001</v>
          </cell>
        </row>
        <row r="2092">
          <cell r="A2092" t="str">
            <v>4305051700</v>
          </cell>
          <cell r="M2092">
            <v>-511176</v>
          </cell>
          <cell r="AR2092" t="str">
            <v>11001</v>
          </cell>
        </row>
        <row r="2093">
          <cell r="A2093" t="str">
            <v>4305051700</v>
          </cell>
          <cell r="M2093">
            <v>-75037</v>
          </cell>
          <cell r="AR2093" t="str">
            <v>11001</v>
          </cell>
        </row>
        <row r="2094">
          <cell r="A2094" t="str">
            <v>4305051700</v>
          </cell>
          <cell r="M2094">
            <v>-423828</v>
          </cell>
          <cell r="AR2094" t="str">
            <v>11001</v>
          </cell>
        </row>
        <row r="2095">
          <cell r="A2095" t="str">
            <v>4305051700</v>
          </cell>
          <cell r="M2095">
            <v>-154699</v>
          </cell>
          <cell r="AR2095" t="str">
            <v>11001</v>
          </cell>
        </row>
        <row r="2096">
          <cell r="A2096" t="str">
            <v>4305051700</v>
          </cell>
          <cell r="M2096">
            <v>-592350</v>
          </cell>
          <cell r="AR2096" t="str">
            <v>11001</v>
          </cell>
        </row>
        <row r="2097">
          <cell r="A2097" t="str">
            <v>4305051700</v>
          </cell>
          <cell r="M2097">
            <v>-323462</v>
          </cell>
          <cell r="AR2097" t="str">
            <v>11001</v>
          </cell>
        </row>
        <row r="2098">
          <cell r="A2098" t="str">
            <v>4305051700</v>
          </cell>
          <cell r="M2098">
            <v>-131651</v>
          </cell>
          <cell r="AR2098" t="str">
            <v>11001</v>
          </cell>
        </row>
        <row r="2099">
          <cell r="A2099" t="str">
            <v>4305051700</v>
          </cell>
          <cell r="M2099">
            <v>-296748</v>
          </cell>
          <cell r="AR2099" t="str">
            <v>11001</v>
          </cell>
        </row>
        <row r="2100">
          <cell r="A2100" t="str">
            <v>4305051700</v>
          </cell>
          <cell r="M2100">
            <v>-232019</v>
          </cell>
          <cell r="AR2100" t="str">
            <v>11001</v>
          </cell>
        </row>
        <row r="2101">
          <cell r="A2101" t="str">
            <v>4305051700</v>
          </cell>
          <cell r="M2101">
            <v>-117181</v>
          </cell>
          <cell r="AR2101" t="str">
            <v>11001</v>
          </cell>
        </row>
        <row r="2102">
          <cell r="A2102" t="str">
            <v>4305051700</v>
          </cell>
          <cell r="M2102">
            <v>-306742</v>
          </cell>
          <cell r="AR2102" t="str">
            <v>11001</v>
          </cell>
        </row>
        <row r="2103">
          <cell r="A2103" t="str">
            <v>4305051700</v>
          </cell>
          <cell r="M2103">
            <v>-132969</v>
          </cell>
          <cell r="AR2103" t="str">
            <v>11001</v>
          </cell>
        </row>
        <row r="2104">
          <cell r="A2104" t="str">
            <v>4305051700</v>
          </cell>
          <cell r="M2104">
            <v>-37282</v>
          </cell>
          <cell r="AR2104" t="str">
            <v>11001</v>
          </cell>
        </row>
        <row r="2105">
          <cell r="A2105" t="str">
            <v>4305051700</v>
          </cell>
          <cell r="M2105">
            <v>-88794</v>
          </cell>
          <cell r="AR2105" t="str">
            <v>11001</v>
          </cell>
        </row>
        <row r="2106">
          <cell r="A2106" t="str">
            <v>4305051700</v>
          </cell>
          <cell r="M2106">
            <v>-234964</v>
          </cell>
          <cell r="AR2106" t="str">
            <v>11001</v>
          </cell>
        </row>
        <row r="2107">
          <cell r="A2107" t="str">
            <v>4305051700</v>
          </cell>
          <cell r="M2107">
            <v>-151274</v>
          </cell>
          <cell r="AR2107" t="str">
            <v>11001</v>
          </cell>
        </row>
        <row r="2108">
          <cell r="A2108" t="str">
            <v>4305051700</v>
          </cell>
          <cell r="M2108">
            <v>-194233</v>
          </cell>
          <cell r="AR2108" t="str">
            <v>11001</v>
          </cell>
        </row>
        <row r="2109">
          <cell r="A2109" t="str">
            <v>4305051700</v>
          </cell>
          <cell r="M2109">
            <v>-503929</v>
          </cell>
          <cell r="AR2109" t="str">
            <v>11001</v>
          </cell>
        </row>
        <row r="2110">
          <cell r="A2110" t="str">
            <v>4305051700</v>
          </cell>
          <cell r="M2110">
            <v>-283602</v>
          </cell>
          <cell r="AR2110" t="str">
            <v>11001</v>
          </cell>
        </row>
        <row r="2111">
          <cell r="A2111" t="str">
            <v>4305051700</v>
          </cell>
          <cell r="M2111">
            <v>-92221</v>
          </cell>
          <cell r="AR2111" t="str">
            <v>11001</v>
          </cell>
        </row>
        <row r="2112">
          <cell r="A2112" t="str">
            <v>4305051700</v>
          </cell>
          <cell r="M2112">
            <v>-84609</v>
          </cell>
          <cell r="AR2112" t="str">
            <v>11001</v>
          </cell>
        </row>
        <row r="2113">
          <cell r="A2113" t="str">
            <v>4305051700</v>
          </cell>
          <cell r="M2113">
            <v>-348120</v>
          </cell>
          <cell r="AR2113" t="str">
            <v>11001</v>
          </cell>
        </row>
        <row r="2114">
          <cell r="A2114" t="str">
            <v>4305051700</v>
          </cell>
          <cell r="M2114">
            <v>-17</v>
          </cell>
          <cell r="AR2114" t="str">
            <v>11001</v>
          </cell>
        </row>
        <row r="2115">
          <cell r="A2115" t="str">
            <v>4305051700</v>
          </cell>
          <cell r="M2115">
            <v>-100293</v>
          </cell>
          <cell r="AR2115" t="str">
            <v>11001</v>
          </cell>
        </row>
        <row r="2116">
          <cell r="A2116" t="str">
            <v>4305051700</v>
          </cell>
          <cell r="M2116">
            <v>-384796</v>
          </cell>
          <cell r="AR2116" t="str">
            <v>11001</v>
          </cell>
        </row>
        <row r="2117">
          <cell r="A2117" t="str">
            <v>4305051700</v>
          </cell>
          <cell r="M2117">
            <v>-305460</v>
          </cell>
          <cell r="AR2117" t="str">
            <v>11001</v>
          </cell>
        </row>
        <row r="2118">
          <cell r="A2118" t="str">
            <v>4305051700</v>
          </cell>
          <cell r="M2118">
            <v>-415317</v>
          </cell>
          <cell r="AR2118" t="str">
            <v>11001</v>
          </cell>
        </row>
        <row r="2119">
          <cell r="A2119" t="str">
            <v>4305051700</v>
          </cell>
          <cell r="M2119">
            <v>-86533</v>
          </cell>
          <cell r="AR2119" t="str">
            <v>11001</v>
          </cell>
        </row>
        <row r="2120">
          <cell r="A2120" t="str">
            <v>4305051700</v>
          </cell>
          <cell r="M2120">
            <v>-239</v>
          </cell>
          <cell r="AR2120" t="str">
            <v>11001</v>
          </cell>
        </row>
        <row r="2121">
          <cell r="A2121" t="str">
            <v>4305051700</v>
          </cell>
          <cell r="M2121">
            <v>-601833</v>
          </cell>
          <cell r="AR2121" t="str">
            <v>11001</v>
          </cell>
        </row>
        <row r="2122">
          <cell r="A2122" t="str">
            <v>4305051700</v>
          </cell>
          <cell r="M2122">
            <v>-91106</v>
          </cell>
          <cell r="AR2122" t="str">
            <v>11001</v>
          </cell>
        </row>
        <row r="2123">
          <cell r="A2123" t="str">
            <v>4305051700</v>
          </cell>
          <cell r="M2123">
            <v>-115854</v>
          </cell>
          <cell r="AR2123" t="str">
            <v>11001</v>
          </cell>
        </row>
        <row r="2124">
          <cell r="A2124" t="str">
            <v>4305051700</v>
          </cell>
          <cell r="M2124">
            <v>-18</v>
          </cell>
          <cell r="AR2124" t="str">
            <v>11001</v>
          </cell>
        </row>
        <row r="2125">
          <cell r="A2125" t="str">
            <v>4305051700</v>
          </cell>
          <cell r="M2125">
            <v>-52801</v>
          </cell>
          <cell r="AR2125" t="str">
            <v>11001</v>
          </cell>
        </row>
        <row r="2126">
          <cell r="A2126" t="str">
            <v>4305051700</v>
          </cell>
          <cell r="M2126">
            <v>-1497029</v>
          </cell>
          <cell r="AR2126" t="str">
            <v>11001</v>
          </cell>
        </row>
        <row r="2127">
          <cell r="A2127" t="str">
            <v>4305051700</v>
          </cell>
          <cell r="M2127">
            <v>-302869</v>
          </cell>
          <cell r="AR2127" t="str">
            <v>11001</v>
          </cell>
        </row>
        <row r="2128">
          <cell r="A2128" t="str">
            <v>4305051700</v>
          </cell>
          <cell r="M2128">
            <v>-670971</v>
          </cell>
          <cell r="AR2128" t="str">
            <v>11001</v>
          </cell>
        </row>
        <row r="2129">
          <cell r="A2129" t="str">
            <v>4305051700</v>
          </cell>
          <cell r="M2129">
            <v>-466899</v>
          </cell>
          <cell r="AR2129" t="str">
            <v>11001</v>
          </cell>
        </row>
        <row r="2130">
          <cell r="A2130" t="str">
            <v>4305051700</v>
          </cell>
          <cell r="M2130">
            <v>-113113</v>
          </cell>
          <cell r="AR2130" t="str">
            <v>11001</v>
          </cell>
        </row>
        <row r="2131">
          <cell r="A2131" t="str">
            <v>4305051700</v>
          </cell>
          <cell r="M2131">
            <v>-350059</v>
          </cell>
          <cell r="AR2131" t="str">
            <v>11001</v>
          </cell>
        </row>
        <row r="2132">
          <cell r="A2132" t="str">
            <v>4305051700</v>
          </cell>
          <cell r="M2132">
            <v>-162815</v>
          </cell>
          <cell r="AR2132" t="str">
            <v>11001</v>
          </cell>
        </row>
        <row r="2133">
          <cell r="A2133" t="str">
            <v>4305051700</v>
          </cell>
          <cell r="M2133">
            <v>-179558</v>
          </cell>
          <cell r="AR2133" t="str">
            <v>11001</v>
          </cell>
        </row>
        <row r="2134">
          <cell r="A2134" t="str">
            <v>4305051700</v>
          </cell>
          <cell r="M2134">
            <v>-56404</v>
          </cell>
          <cell r="AR2134" t="str">
            <v>11001</v>
          </cell>
        </row>
        <row r="2135">
          <cell r="A2135" t="str">
            <v>4305051700</v>
          </cell>
          <cell r="M2135">
            <v>-153924</v>
          </cell>
          <cell r="AR2135" t="str">
            <v>11001</v>
          </cell>
        </row>
        <row r="2136">
          <cell r="A2136" t="str">
            <v>4305051700</v>
          </cell>
          <cell r="M2136">
            <v>-77285</v>
          </cell>
          <cell r="AR2136" t="str">
            <v>11001</v>
          </cell>
        </row>
        <row r="2137">
          <cell r="A2137" t="str">
            <v>4305051700</v>
          </cell>
          <cell r="M2137">
            <v>-278748</v>
          </cell>
          <cell r="AR2137" t="str">
            <v>11001</v>
          </cell>
        </row>
        <row r="2138">
          <cell r="A2138" t="str">
            <v>4305051700</v>
          </cell>
          <cell r="M2138">
            <v>-19796</v>
          </cell>
          <cell r="AR2138" t="str">
            <v>11001</v>
          </cell>
        </row>
        <row r="2139">
          <cell r="A2139" t="str">
            <v>4305051700</v>
          </cell>
          <cell r="M2139">
            <v>-230774</v>
          </cell>
          <cell r="AR2139" t="str">
            <v>11001</v>
          </cell>
        </row>
        <row r="2140">
          <cell r="A2140" t="str">
            <v>4305051700</v>
          </cell>
          <cell r="M2140">
            <v>-292718</v>
          </cell>
          <cell r="AR2140" t="str">
            <v>11001</v>
          </cell>
        </row>
        <row r="2141">
          <cell r="A2141" t="str">
            <v>4305051700</v>
          </cell>
          <cell r="M2141">
            <v>-4174</v>
          </cell>
          <cell r="AR2141" t="str">
            <v>11001</v>
          </cell>
        </row>
        <row r="2142">
          <cell r="A2142" t="str">
            <v>4305051700</v>
          </cell>
          <cell r="M2142">
            <v>-502567</v>
          </cell>
          <cell r="AR2142" t="str">
            <v>11001</v>
          </cell>
        </row>
        <row r="2143">
          <cell r="A2143" t="str">
            <v>4305051700</v>
          </cell>
          <cell r="M2143">
            <v>-105267</v>
          </cell>
          <cell r="AR2143" t="str">
            <v>11001</v>
          </cell>
        </row>
        <row r="2144">
          <cell r="A2144" t="str">
            <v>4305051700</v>
          </cell>
          <cell r="M2144">
            <v>-52271</v>
          </cell>
          <cell r="AR2144" t="str">
            <v>11001</v>
          </cell>
        </row>
        <row r="2145">
          <cell r="A2145" t="str">
            <v>4310050000</v>
          </cell>
          <cell r="M2145">
            <v>-155698</v>
          </cell>
          <cell r="AR2145" t="str">
            <v>11001</v>
          </cell>
        </row>
        <row r="2146">
          <cell r="A2146" t="str">
            <v>4310050000</v>
          </cell>
          <cell r="M2146">
            <v>-3467</v>
          </cell>
          <cell r="AR2146" t="str">
            <v>11001</v>
          </cell>
        </row>
        <row r="2147">
          <cell r="A2147" t="str">
            <v>4310050000</v>
          </cell>
          <cell r="M2147">
            <v>-6809</v>
          </cell>
          <cell r="AR2147" t="str">
            <v>11001</v>
          </cell>
        </row>
        <row r="2148">
          <cell r="A2148" t="str">
            <v>4310050000</v>
          </cell>
          <cell r="M2148">
            <v>-2081094</v>
          </cell>
          <cell r="AR2148" t="str">
            <v>11001</v>
          </cell>
        </row>
        <row r="2149">
          <cell r="A2149" t="str">
            <v>4310050000</v>
          </cell>
          <cell r="M2149">
            <v>-3420320</v>
          </cell>
          <cell r="AR2149" t="str">
            <v>11001</v>
          </cell>
        </row>
        <row r="2150">
          <cell r="A2150" t="str">
            <v>4310050000</v>
          </cell>
          <cell r="M2150">
            <v>-30415</v>
          </cell>
          <cell r="AR2150" t="str">
            <v>11001</v>
          </cell>
        </row>
        <row r="2151">
          <cell r="A2151" t="str">
            <v>4310050000</v>
          </cell>
          <cell r="M2151">
            <v>-13000</v>
          </cell>
          <cell r="AR2151" t="str">
            <v>11001</v>
          </cell>
        </row>
        <row r="2152">
          <cell r="A2152" t="str">
            <v>4310050000</v>
          </cell>
          <cell r="M2152">
            <v>-28088</v>
          </cell>
          <cell r="AR2152" t="str">
            <v>11001</v>
          </cell>
        </row>
        <row r="2153">
          <cell r="A2153" t="str">
            <v>4310050000</v>
          </cell>
          <cell r="M2153">
            <v>-175235</v>
          </cell>
          <cell r="AR2153" t="str">
            <v>11001</v>
          </cell>
        </row>
        <row r="2154">
          <cell r="A2154" t="str">
            <v>4310050000</v>
          </cell>
          <cell r="M2154">
            <v>-185</v>
          </cell>
          <cell r="AR2154" t="str">
            <v>11001</v>
          </cell>
        </row>
        <row r="2155">
          <cell r="A2155" t="str">
            <v>4310050000</v>
          </cell>
          <cell r="M2155">
            <v>-33681</v>
          </cell>
          <cell r="AR2155" t="str">
            <v>11001</v>
          </cell>
        </row>
        <row r="2156">
          <cell r="A2156" t="str">
            <v>4310050000</v>
          </cell>
          <cell r="M2156">
            <v>-16738</v>
          </cell>
          <cell r="AR2156" t="str">
            <v>11001</v>
          </cell>
        </row>
        <row r="2157">
          <cell r="A2157" t="str">
            <v>4405050000</v>
          </cell>
          <cell r="M2157">
            <v>-1054800</v>
          </cell>
          <cell r="AR2157" t="str">
            <v>11001</v>
          </cell>
        </row>
        <row r="2158">
          <cell r="A2158" t="str">
            <v>4405050000</v>
          </cell>
          <cell r="M2158">
            <v>-4806967</v>
          </cell>
          <cell r="AR2158" t="str">
            <v>11001</v>
          </cell>
        </row>
        <row r="2159">
          <cell r="A2159" t="str">
            <v>4405050000</v>
          </cell>
          <cell r="M2159">
            <v>-24</v>
          </cell>
          <cell r="AR2159" t="str">
            <v>11001</v>
          </cell>
        </row>
        <row r="2160">
          <cell r="A2160" t="str">
            <v>4405050000</v>
          </cell>
          <cell r="M2160">
            <v>-2891298</v>
          </cell>
          <cell r="AR2160" t="str">
            <v>11001</v>
          </cell>
        </row>
        <row r="2161">
          <cell r="A2161" t="str">
            <v>4405050000</v>
          </cell>
          <cell r="M2161">
            <v>-3749200000</v>
          </cell>
          <cell r="AR2161" t="str">
            <v>11001</v>
          </cell>
        </row>
        <row r="2162">
          <cell r="A2162" t="str">
            <v>4405050000</v>
          </cell>
          <cell r="M2162">
            <v>1054800</v>
          </cell>
          <cell r="AR2162" t="str">
            <v>11001</v>
          </cell>
        </row>
        <row r="2163">
          <cell r="A2163" t="str">
            <v>4405050000</v>
          </cell>
          <cell r="M2163">
            <v>-22954429</v>
          </cell>
          <cell r="AR2163" t="str">
            <v>11001</v>
          </cell>
        </row>
        <row r="2164">
          <cell r="A2164" t="str">
            <v>4405050000</v>
          </cell>
          <cell r="M2164">
            <v>-36372384</v>
          </cell>
          <cell r="AR2164" t="str">
            <v>11001</v>
          </cell>
        </row>
        <row r="2165">
          <cell r="A2165" t="str">
            <v>4405050000</v>
          </cell>
          <cell r="M2165">
            <v>-1009216</v>
          </cell>
          <cell r="AR2165" t="str">
            <v>11001</v>
          </cell>
        </row>
        <row r="2166">
          <cell r="A2166" t="str">
            <v>4405050000</v>
          </cell>
          <cell r="M2166">
            <v>-1387017</v>
          </cell>
          <cell r="AR2166" t="str">
            <v>11001</v>
          </cell>
        </row>
        <row r="2167">
          <cell r="A2167" t="str">
            <v>4405050000</v>
          </cell>
          <cell r="M2167">
            <v>-4074319</v>
          </cell>
          <cell r="AR2167" t="str">
            <v>11001</v>
          </cell>
        </row>
        <row r="2168">
          <cell r="A2168" t="str">
            <v>4405050000</v>
          </cell>
          <cell r="M2168">
            <v>-26458673</v>
          </cell>
          <cell r="AR2168" t="str">
            <v>11001</v>
          </cell>
        </row>
        <row r="2169">
          <cell r="A2169" t="str">
            <v>4405050000</v>
          </cell>
          <cell r="M2169">
            <v>-593997</v>
          </cell>
          <cell r="AR2169" t="str">
            <v>11001</v>
          </cell>
        </row>
        <row r="2170">
          <cell r="A2170" t="str">
            <v>4405050000</v>
          </cell>
          <cell r="M2170">
            <v>-3832650000</v>
          </cell>
          <cell r="AR2170" t="str">
            <v>11001</v>
          </cell>
        </row>
        <row r="2171">
          <cell r="A2171" t="str">
            <v>4405050000</v>
          </cell>
          <cell r="M2171">
            <v>-15211600000</v>
          </cell>
          <cell r="AR2171" t="str">
            <v>11001</v>
          </cell>
        </row>
        <row r="2172">
          <cell r="A2172" t="str">
            <v>4405050000</v>
          </cell>
          <cell r="M2172">
            <v>145100000</v>
          </cell>
          <cell r="AR2172" t="str">
            <v>11001</v>
          </cell>
        </row>
        <row r="2173">
          <cell r="A2173" t="str">
            <v>4405050000</v>
          </cell>
          <cell r="M2173">
            <v>-39051</v>
          </cell>
          <cell r="AR2173" t="str">
            <v>11001</v>
          </cell>
        </row>
        <row r="2174">
          <cell r="A2174" t="str">
            <v>4405050000</v>
          </cell>
          <cell r="M2174">
            <v>-145100000</v>
          </cell>
          <cell r="AR2174" t="str">
            <v>11001</v>
          </cell>
        </row>
        <row r="2175">
          <cell r="A2175" t="str">
            <v>4405050000</v>
          </cell>
          <cell r="M2175">
            <v>-3585707</v>
          </cell>
          <cell r="AR2175" t="str">
            <v>11001</v>
          </cell>
        </row>
        <row r="2176">
          <cell r="A2176" t="str">
            <v>4405050000</v>
          </cell>
          <cell r="M2176">
            <v>-12550</v>
          </cell>
          <cell r="AR2176" t="str">
            <v>11001</v>
          </cell>
        </row>
        <row r="2177">
          <cell r="A2177" t="str">
            <v>4405050000</v>
          </cell>
          <cell r="M2177">
            <v>-426125000</v>
          </cell>
          <cell r="AR2177" t="str">
            <v>11001</v>
          </cell>
        </row>
        <row r="2178">
          <cell r="A2178" t="str">
            <v>4405050000</v>
          </cell>
          <cell r="M2178">
            <v>-7394324</v>
          </cell>
          <cell r="AR2178" t="str">
            <v>11001</v>
          </cell>
        </row>
        <row r="2179">
          <cell r="A2179" t="str">
            <v>4405050000</v>
          </cell>
          <cell r="M2179">
            <v>-102284</v>
          </cell>
          <cell r="AR2179" t="str">
            <v>11001</v>
          </cell>
        </row>
        <row r="2180">
          <cell r="A2180" t="str">
            <v>4405050000</v>
          </cell>
          <cell r="M2180">
            <v>-5970000000</v>
          </cell>
          <cell r="AR2180" t="str">
            <v>11001</v>
          </cell>
        </row>
        <row r="2181">
          <cell r="A2181" t="str">
            <v>4405050000</v>
          </cell>
          <cell r="M2181">
            <v>-3582000000</v>
          </cell>
          <cell r="AR2181" t="str">
            <v>11001</v>
          </cell>
        </row>
        <row r="2182">
          <cell r="A2182" t="str">
            <v>4405050000</v>
          </cell>
          <cell r="M2182">
            <v>-137380552</v>
          </cell>
          <cell r="AR2182" t="str">
            <v>11001</v>
          </cell>
        </row>
        <row r="2183">
          <cell r="A2183" t="str">
            <v>4405050000</v>
          </cell>
          <cell r="M2183">
            <v>-18573</v>
          </cell>
          <cell r="AR2183" t="str">
            <v>11001</v>
          </cell>
        </row>
        <row r="2184">
          <cell r="A2184" t="str">
            <v>4405050000</v>
          </cell>
          <cell r="M2184">
            <v>-2989690000</v>
          </cell>
          <cell r="AR2184" t="str">
            <v>11001</v>
          </cell>
        </row>
        <row r="2185">
          <cell r="A2185" t="str">
            <v>4405050000</v>
          </cell>
          <cell r="M2185">
            <v>-10328020000</v>
          </cell>
          <cell r="AR2185" t="str">
            <v>11001</v>
          </cell>
        </row>
        <row r="2186">
          <cell r="A2186" t="str">
            <v>4405050000</v>
          </cell>
          <cell r="M2186">
            <v>-2183120</v>
          </cell>
          <cell r="AR2186" t="str">
            <v>11001</v>
          </cell>
        </row>
        <row r="2187">
          <cell r="A2187" t="str">
            <v>4405050100</v>
          </cell>
          <cell r="M2187">
            <v>-1560975000</v>
          </cell>
          <cell r="AR2187" t="str">
            <v>11001</v>
          </cell>
        </row>
        <row r="2188">
          <cell r="A2188" t="str">
            <v>4405050100</v>
          </cell>
          <cell r="M2188">
            <v>-1248780000</v>
          </cell>
          <cell r="AR2188" t="str">
            <v>11001</v>
          </cell>
        </row>
        <row r="2189">
          <cell r="A2189" t="str">
            <v>4405050100</v>
          </cell>
          <cell r="M2189">
            <v>-1678950000</v>
          </cell>
          <cell r="AR2189" t="str">
            <v>11001</v>
          </cell>
        </row>
        <row r="2190">
          <cell r="A2190" t="str">
            <v>4405050100</v>
          </cell>
          <cell r="M2190">
            <v>-1560510000</v>
          </cell>
          <cell r="AR2190" t="str">
            <v>11001</v>
          </cell>
        </row>
        <row r="2191">
          <cell r="A2191" t="str">
            <v>4405050100</v>
          </cell>
          <cell r="M2191">
            <v>-8538400000</v>
          </cell>
          <cell r="AR2191" t="str">
            <v>11001</v>
          </cell>
        </row>
        <row r="2192">
          <cell r="A2192" t="str">
            <v>4405050100</v>
          </cell>
          <cell r="M2192">
            <v>-3366225000</v>
          </cell>
          <cell r="AR2192" t="str">
            <v>11001</v>
          </cell>
        </row>
        <row r="2193">
          <cell r="A2193" t="str">
            <v>4405050500</v>
          </cell>
          <cell r="M2193">
            <v>-11469851</v>
          </cell>
          <cell r="AR2193" t="str">
            <v>11001</v>
          </cell>
        </row>
        <row r="2194">
          <cell r="A2194" t="str">
            <v>4405050500</v>
          </cell>
          <cell r="M2194">
            <v>-13650863</v>
          </cell>
          <cell r="AR2194" t="str">
            <v>11001</v>
          </cell>
        </row>
        <row r="2195">
          <cell r="A2195" t="str">
            <v>4405050500</v>
          </cell>
          <cell r="M2195">
            <v>-17413069</v>
          </cell>
          <cell r="AR2195" t="str">
            <v>11001</v>
          </cell>
        </row>
        <row r="2196">
          <cell r="A2196" t="str">
            <v>4405050500</v>
          </cell>
          <cell r="M2196">
            <v>-1</v>
          </cell>
          <cell r="AR2196" t="str">
            <v>11001</v>
          </cell>
        </row>
        <row r="2197">
          <cell r="A2197" t="str">
            <v>4405051100</v>
          </cell>
          <cell r="M2197">
            <v>-197</v>
          </cell>
          <cell r="AR2197" t="str">
            <v>11001</v>
          </cell>
        </row>
        <row r="2198">
          <cell r="A2198" t="str">
            <v>4405051100</v>
          </cell>
          <cell r="M2198">
            <v>-5</v>
          </cell>
          <cell r="AR2198" t="str">
            <v>11001</v>
          </cell>
        </row>
        <row r="2199">
          <cell r="A2199" t="str">
            <v>4405051100</v>
          </cell>
          <cell r="M2199">
            <v>-163222324</v>
          </cell>
          <cell r="AR2199" t="str">
            <v>11001</v>
          </cell>
        </row>
        <row r="2200">
          <cell r="A2200" t="str">
            <v>4405051100</v>
          </cell>
          <cell r="M2200">
            <v>-24134937</v>
          </cell>
          <cell r="AR2200" t="str">
            <v>11001</v>
          </cell>
        </row>
        <row r="2201">
          <cell r="A2201" t="str">
            <v>4405051100</v>
          </cell>
          <cell r="M2201">
            <v>-116</v>
          </cell>
          <cell r="AR2201" t="str">
            <v>11001</v>
          </cell>
        </row>
        <row r="2202">
          <cell r="A2202" t="str">
            <v>4405051100</v>
          </cell>
          <cell r="M2202">
            <v>-158668</v>
          </cell>
          <cell r="AR2202" t="str">
            <v>11001</v>
          </cell>
        </row>
        <row r="2203">
          <cell r="A2203" t="str">
            <v>4405051100</v>
          </cell>
          <cell r="M2203">
            <v>-11</v>
          </cell>
          <cell r="AR2203" t="str">
            <v>11001</v>
          </cell>
        </row>
        <row r="2204">
          <cell r="A2204" t="str">
            <v>4405051100</v>
          </cell>
          <cell r="M2204">
            <v>-1</v>
          </cell>
          <cell r="AR2204" t="str">
            <v>11001</v>
          </cell>
        </row>
        <row r="2205">
          <cell r="A2205" t="str">
            <v>4405051100</v>
          </cell>
          <cell r="M2205">
            <v>-1</v>
          </cell>
          <cell r="AR2205" t="str">
            <v>11001</v>
          </cell>
        </row>
        <row r="2206">
          <cell r="A2206" t="str">
            <v>4405051100</v>
          </cell>
          <cell r="M2206">
            <v>-6</v>
          </cell>
          <cell r="AR2206" t="str">
            <v>11001</v>
          </cell>
        </row>
        <row r="2207">
          <cell r="A2207" t="str">
            <v>4405051100</v>
          </cell>
          <cell r="M2207">
            <v>-99256950</v>
          </cell>
          <cell r="AR2207" t="str">
            <v>11001</v>
          </cell>
        </row>
        <row r="2208">
          <cell r="A2208" t="str">
            <v>4405051100</v>
          </cell>
          <cell r="M2208">
            <v>-129099258</v>
          </cell>
          <cell r="AR2208" t="str">
            <v>11001</v>
          </cell>
        </row>
        <row r="2209">
          <cell r="A2209" t="str">
            <v>4405051100</v>
          </cell>
          <cell r="M2209">
            <v>-8</v>
          </cell>
          <cell r="AR2209" t="str">
            <v>11001</v>
          </cell>
        </row>
        <row r="2210">
          <cell r="A2210" t="str">
            <v>4405051100</v>
          </cell>
          <cell r="M2210">
            <v>-20358</v>
          </cell>
          <cell r="AR2210" t="str">
            <v>11001</v>
          </cell>
        </row>
        <row r="2211">
          <cell r="A2211" t="str">
            <v>4405051100</v>
          </cell>
          <cell r="M2211">
            <v>-342084</v>
          </cell>
          <cell r="AR2211" t="str">
            <v>11001</v>
          </cell>
        </row>
        <row r="2212">
          <cell r="A2212" t="str">
            <v>4405051100</v>
          </cell>
          <cell r="M2212">
            <v>-125878</v>
          </cell>
          <cell r="AR2212" t="str">
            <v>11001</v>
          </cell>
        </row>
        <row r="2213">
          <cell r="A2213" t="str">
            <v>4405051100</v>
          </cell>
          <cell r="M2213">
            <v>-2966</v>
          </cell>
          <cell r="AR2213" t="str">
            <v>11001</v>
          </cell>
        </row>
        <row r="2214">
          <cell r="A2214" t="str">
            <v>4405051100</v>
          </cell>
          <cell r="M2214">
            <v>-711378</v>
          </cell>
          <cell r="AR2214" t="str">
            <v>11001</v>
          </cell>
        </row>
        <row r="2215">
          <cell r="A2215" t="str">
            <v>4410050000</v>
          </cell>
          <cell r="M2215">
            <v>1055200000</v>
          </cell>
          <cell r="AR2215" t="str">
            <v>11001</v>
          </cell>
        </row>
        <row r="2216">
          <cell r="A2216" t="str">
            <v>4410050000</v>
          </cell>
          <cell r="M2216">
            <v>-436600000</v>
          </cell>
          <cell r="AR2216" t="str">
            <v>11001</v>
          </cell>
        </row>
        <row r="2217">
          <cell r="A2217" t="str">
            <v>4410050000</v>
          </cell>
          <cell r="M2217">
            <v>1687725000</v>
          </cell>
          <cell r="AR2217" t="str">
            <v>11001</v>
          </cell>
        </row>
        <row r="2218">
          <cell r="A2218" t="str">
            <v>4410050000</v>
          </cell>
          <cell r="M2218">
            <v>181755000</v>
          </cell>
          <cell r="AR2218" t="str">
            <v>11001</v>
          </cell>
        </row>
        <row r="2219">
          <cell r="A2219" t="str">
            <v>4410050000</v>
          </cell>
          <cell r="M2219">
            <v>-436600000</v>
          </cell>
          <cell r="AR2219" t="str">
            <v>11001</v>
          </cell>
        </row>
        <row r="2220">
          <cell r="A2220" t="str">
            <v>4410050000</v>
          </cell>
          <cell r="M2220">
            <v>475000000</v>
          </cell>
          <cell r="AR2220" t="str">
            <v>11001</v>
          </cell>
        </row>
        <row r="2221">
          <cell r="A2221" t="str">
            <v>4410050000</v>
          </cell>
          <cell r="M2221">
            <v>-436600000</v>
          </cell>
          <cell r="AR2221" t="str">
            <v>11001</v>
          </cell>
        </row>
        <row r="2222">
          <cell r="A2222" t="str">
            <v>4410050000</v>
          </cell>
          <cell r="M2222">
            <v>-1309800000</v>
          </cell>
          <cell r="AR2222" t="str">
            <v>11001</v>
          </cell>
        </row>
        <row r="2223">
          <cell r="A2223" t="str">
            <v>4410050000</v>
          </cell>
          <cell r="M2223">
            <v>1895445000</v>
          </cell>
          <cell r="AR2223" t="str">
            <v>11001</v>
          </cell>
        </row>
        <row r="2224">
          <cell r="A2224" t="str">
            <v>4410050000</v>
          </cell>
          <cell r="M2224">
            <v>4435600000</v>
          </cell>
          <cell r="AR2224" t="str">
            <v>11001</v>
          </cell>
        </row>
        <row r="2225">
          <cell r="A2225" t="str">
            <v>4410050000</v>
          </cell>
          <cell r="M2225">
            <v>-1528100000</v>
          </cell>
          <cell r="AR2225" t="str">
            <v>11001</v>
          </cell>
        </row>
        <row r="2226">
          <cell r="A2226" t="str">
            <v>4410050000</v>
          </cell>
          <cell r="M2226">
            <v>-10583625000</v>
          </cell>
          <cell r="AR2226" t="str">
            <v>11001</v>
          </cell>
        </row>
        <row r="2227">
          <cell r="A2227" t="str">
            <v>4410050000</v>
          </cell>
          <cell r="M2227">
            <v>582000000</v>
          </cell>
          <cell r="AR2227" t="str">
            <v>11001</v>
          </cell>
        </row>
        <row r="2228">
          <cell r="A2228" t="str">
            <v>4410050000</v>
          </cell>
          <cell r="M2228">
            <v>802251186</v>
          </cell>
          <cell r="AR2228" t="str">
            <v>11001</v>
          </cell>
        </row>
        <row r="2229">
          <cell r="A2229" t="str">
            <v>4410050000</v>
          </cell>
          <cell r="M2229">
            <v>-8433120597</v>
          </cell>
          <cell r="AR2229" t="str">
            <v>11001</v>
          </cell>
        </row>
        <row r="2230">
          <cell r="A2230" t="str">
            <v>4410050000</v>
          </cell>
          <cell r="M2230">
            <v>12843281441</v>
          </cell>
          <cell r="AR2230" t="str">
            <v>11001</v>
          </cell>
        </row>
        <row r="2231">
          <cell r="A2231" t="str">
            <v>4410050000</v>
          </cell>
          <cell r="M2231">
            <v>2827665</v>
          </cell>
          <cell r="AR2231" t="str">
            <v>11001</v>
          </cell>
        </row>
        <row r="2232">
          <cell r="A2232" t="str">
            <v>4410050000</v>
          </cell>
          <cell r="M2232">
            <v>10657128</v>
          </cell>
          <cell r="AR2232" t="str">
            <v>11001</v>
          </cell>
        </row>
        <row r="2233">
          <cell r="A2233" t="str">
            <v>4410050000</v>
          </cell>
          <cell r="M2233">
            <v>522802309</v>
          </cell>
          <cell r="AR2233" t="str">
            <v>11001</v>
          </cell>
        </row>
        <row r="2234">
          <cell r="A2234" t="str">
            <v>4410050000</v>
          </cell>
          <cell r="M2234">
            <v>-672500542</v>
          </cell>
          <cell r="AR2234" t="str">
            <v>11001</v>
          </cell>
        </row>
        <row r="2235">
          <cell r="A2235" t="str">
            <v>4410050000</v>
          </cell>
          <cell r="M2235">
            <v>-22437754914</v>
          </cell>
          <cell r="AR2235" t="str">
            <v>11001</v>
          </cell>
        </row>
        <row r="2236">
          <cell r="A2236" t="str">
            <v>4410050000</v>
          </cell>
          <cell r="M2236">
            <v>21635503728</v>
          </cell>
          <cell r="AR2236" t="str">
            <v>11001</v>
          </cell>
        </row>
        <row r="2237">
          <cell r="A2237" t="str">
            <v>4410050000</v>
          </cell>
          <cell r="M2237">
            <v>-11886225000</v>
          </cell>
          <cell r="AR2237" t="str">
            <v>11001</v>
          </cell>
        </row>
        <row r="2238">
          <cell r="A2238" t="str">
            <v>4410050000</v>
          </cell>
          <cell r="M2238">
            <v>137500000</v>
          </cell>
          <cell r="AR2238" t="str">
            <v>11001</v>
          </cell>
        </row>
        <row r="2239">
          <cell r="A2239" t="str">
            <v>4410050000</v>
          </cell>
          <cell r="M2239">
            <v>-3419325000</v>
          </cell>
          <cell r="AR2239" t="str">
            <v>11001</v>
          </cell>
        </row>
        <row r="2240">
          <cell r="A2240" t="str">
            <v>4410050000</v>
          </cell>
          <cell r="M2240">
            <v>57720000</v>
          </cell>
          <cell r="AR2240" t="str">
            <v>11001</v>
          </cell>
        </row>
        <row r="2241">
          <cell r="A2241" t="str">
            <v>4410050000</v>
          </cell>
          <cell r="M2241">
            <v>-57720000</v>
          </cell>
          <cell r="AR2241" t="str">
            <v>11001</v>
          </cell>
        </row>
        <row r="2242">
          <cell r="A2242" t="str">
            <v>4410050000</v>
          </cell>
          <cell r="M2242">
            <v>-436600000</v>
          </cell>
          <cell r="AR2242" t="str">
            <v>11001</v>
          </cell>
        </row>
        <row r="2243">
          <cell r="A2243" t="str">
            <v>4410050000</v>
          </cell>
          <cell r="M2243">
            <v>-218300000</v>
          </cell>
          <cell r="AR2243" t="str">
            <v>11001</v>
          </cell>
        </row>
        <row r="2244">
          <cell r="A2244" t="str">
            <v>4410050000</v>
          </cell>
          <cell r="M2244">
            <v>545265000</v>
          </cell>
          <cell r="AR2244" t="str">
            <v>11001</v>
          </cell>
        </row>
        <row r="2245">
          <cell r="A2245" t="str">
            <v>4410050000</v>
          </cell>
          <cell r="M2245">
            <v>349200000</v>
          </cell>
          <cell r="AR2245" t="str">
            <v>11001</v>
          </cell>
        </row>
        <row r="2246">
          <cell r="A2246" t="str">
            <v>4410050100</v>
          </cell>
          <cell r="M2246">
            <v>-873200000</v>
          </cell>
          <cell r="AR2246" t="str">
            <v>11001</v>
          </cell>
        </row>
        <row r="2247">
          <cell r="A2247" t="str">
            <v>4410050100</v>
          </cell>
          <cell r="M2247">
            <v>-436600000</v>
          </cell>
          <cell r="AR2247" t="str">
            <v>11001</v>
          </cell>
        </row>
        <row r="2248">
          <cell r="A2248" t="str">
            <v>4410050100</v>
          </cell>
          <cell r="M2248">
            <v>-1309800000</v>
          </cell>
          <cell r="AR2248" t="str">
            <v>11001</v>
          </cell>
        </row>
        <row r="2249">
          <cell r="A2249" t="str">
            <v>4410050500</v>
          </cell>
          <cell r="M2249">
            <v>19506153</v>
          </cell>
          <cell r="AR2249" t="str">
            <v>11001</v>
          </cell>
        </row>
        <row r="2250">
          <cell r="A2250" t="str">
            <v>4410050500</v>
          </cell>
          <cell r="M2250">
            <v>24915697</v>
          </cell>
          <cell r="AR2250" t="str">
            <v>11001</v>
          </cell>
        </row>
        <row r="2251">
          <cell r="A2251" t="str">
            <v>4410050600</v>
          </cell>
          <cell r="M2251">
            <v>-2031773875</v>
          </cell>
          <cell r="AR2251" t="str">
            <v>11001</v>
          </cell>
        </row>
        <row r="2252">
          <cell r="A2252" t="str">
            <v>4410050600</v>
          </cell>
          <cell r="M2252">
            <v>-455301380</v>
          </cell>
          <cell r="AR2252" t="str">
            <v>11001</v>
          </cell>
        </row>
        <row r="2253">
          <cell r="A2253" t="str">
            <v>4410050600</v>
          </cell>
          <cell r="M2253">
            <v>-1258171790</v>
          </cell>
          <cell r="AR2253" t="str">
            <v>11001</v>
          </cell>
        </row>
        <row r="2254">
          <cell r="A2254" t="str">
            <v>4410050600</v>
          </cell>
          <cell r="M2254">
            <v>187980682</v>
          </cell>
          <cell r="AR2254" t="str">
            <v>11001</v>
          </cell>
        </row>
        <row r="2255">
          <cell r="A2255" t="str">
            <v>4410050600</v>
          </cell>
          <cell r="M2255">
            <v>-5105297486</v>
          </cell>
          <cell r="AR2255" t="str">
            <v>11001</v>
          </cell>
        </row>
        <row r="2256">
          <cell r="A2256" t="str">
            <v>4410050600</v>
          </cell>
          <cell r="M2256">
            <v>718065261</v>
          </cell>
          <cell r="AR2256" t="str">
            <v>11001</v>
          </cell>
        </row>
        <row r="2257">
          <cell r="A2257" t="str">
            <v>4410050600</v>
          </cell>
          <cell r="M2257">
            <v>-367755231</v>
          </cell>
          <cell r="AR2257" t="str">
            <v>11001</v>
          </cell>
        </row>
        <row r="2258">
          <cell r="A2258" t="str">
            <v>4410050600</v>
          </cell>
          <cell r="M2258">
            <v>504723518</v>
          </cell>
          <cell r="AR2258" t="str">
            <v>11001</v>
          </cell>
        </row>
        <row r="2259">
          <cell r="A2259" t="str">
            <v>4410050600</v>
          </cell>
          <cell r="M2259">
            <v>-2994666058</v>
          </cell>
          <cell r="AR2259" t="str">
            <v>11001</v>
          </cell>
        </row>
        <row r="2260">
          <cell r="A2260" t="str">
            <v>4410050600</v>
          </cell>
          <cell r="M2260">
            <v>-1558794255</v>
          </cell>
          <cell r="AR2260" t="str">
            <v>11001</v>
          </cell>
        </row>
        <row r="2261">
          <cell r="A2261" t="str">
            <v>4410050600</v>
          </cell>
          <cell r="M2261">
            <v>-349857541</v>
          </cell>
          <cell r="AR2261" t="str">
            <v>11001</v>
          </cell>
        </row>
        <row r="2262">
          <cell r="A2262" t="str">
            <v>4410050600</v>
          </cell>
          <cell r="M2262">
            <v>-1875861343</v>
          </cell>
          <cell r="AR2262" t="str">
            <v>11001</v>
          </cell>
        </row>
        <row r="2263">
          <cell r="A2263" t="str">
            <v>4410050600</v>
          </cell>
          <cell r="M2263">
            <v>93627205</v>
          </cell>
          <cell r="AR2263" t="str">
            <v>11001</v>
          </cell>
        </row>
        <row r="2264">
          <cell r="A2264" t="str">
            <v>4410050600</v>
          </cell>
          <cell r="M2264">
            <v>9218009735</v>
          </cell>
          <cell r="AR2264" t="str">
            <v>11001</v>
          </cell>
        </row>
        <row r="2265">
          <cell r="A2265" t="str">
            <v>4410050600</v>
          </cell>
          <cell r="M2265">
            <v>-313838637</v>
          </cell>
          <cell r="AR2265" t="str">
            <v>11001</v>
          </cell>
        </row>
        <row r="2266">
          <cell r="A2266" t="str">
            <v>4410050600</v>
          </cell>
          <cell r="M2266">
            <v>17889048538</v>
          </cell>
          <cell r="AR2266" t="str">
            <v>11001</v>
          </cell>
        </row>
        <row r="2267">
          <cell r="A2267" t="str">
            <v>4410050600</v>
          </cell>
          <cell r="M2267">
            <v>-12210571559</v>
          </cell>
          <cell r="AR2267" t="str">
            <v>11001</v>
          </cell>
        </row>
        <row r="2268">
          <cell r="A2268" t="str">
            <v>4410050600</v>
          </cell>
          <cell r="M2268">
            <v>-778543886</v>
          </cell>
          <cell r="AR2268" t="str">
            <v>11001</v>
          </cell>
        </row>
        <row r="2269">
          <cell r="A2269" t="str">
            <v>4410050600</v>
          </cell>
          <cell r="M2269">
            <v>901633867</v>
          </cell>
          <cell r="AR2269" t="str">
            <v>11001</v>
          </cell>
        </row>
        <row r="2270">
          <cell r="A2270" t="str">
            <v>4410050600</v>
          </cell>
          <cell r="M2270">
            <v>-2821076716</v>
          </cell>
          <cell r="AR2270" t="str">
            <v>11001</v>
          </cell>
        </row>
        <row r="2271">
          <cell r="A2271" t="str">
            <v>4410050900</v>
          </cell>
          <cell r="M2271">
            <v>619622</v>
          </cell>
          <cell r="AR2271" t="str">
            <v>11001</v>
          </cell>
        </row>
        <row r="2272">
          <cell r="A2272" t="str">
            <v>4410051000</v>
          </cell>
          <cell r="M2272">
            <v>497123935668</v>
          </cell>
          <cell r="AR2272" t="str">
            <v>11001</v>
          </cell>
        </row>
        <row r="2273">
          <cell r="A2273" t="str">
            <v>4410051000</v>
          </cell>
          <cell r="M2273">
            <v>-58110996232</v>
          </cell>
          <cell r="AR2273" t="str">
            <v>11001</v>
          </cell>
        </row>
        <row r="2274">
          <cell r="A2274" t="str">
            <v>4410051000</v>
          </cell>
          <cell r="M2274">
            <v>76483894880</v>
          </cell>
          <cell r="AR2274" t="str">
            <v>11001</v>
          </cell>
        </row>
        <row r="2275">
          <cell r="A2275" t="str">
            <v>4410051000</v>
          </cell>
          <cell r="M2275">
            <v>-218826431104</v>
          </cell>
          <cell r="AR2275" t="str">
            <v>11001</v>
          </cell>
        </row>
        <row r="2276">
          <cell r="A2276" t="str">
            <v>4410051000</v>
          </cell>
          <cell r="M2276">
            <v>28699156956</v>
          </cell>
          <cell r="AR2276" t="str">
            <v>11001</v>
          </cell>
        </row>
        <row r="2277">
          <cell r="A2277" t="str">
            <v>4410051000</v>
          </cell>
          <cell r="M2277">
            <v>29055498116</v>
          </cell>
          <cell r="AR2277" t="str">
            <v>11001</v>
          </cell>
        </row>
        <row r="2278">
          <cell r="A2278" t="str">
            <v>4410051000</v>
          </cell>
          <cell r="M2278">
            <v>-354425058284</v>
          </cell>
          <cell r="AR2278" t="str">
            <v>11001</v>
          </cell>
        </row>
        <row r="2279">
          <cell r="A2279" t="str">
            <v>4410051100</v>
          </cell>
          <cell r="M2279">
            <v>-186764</v>
          </cell>
          <cell r="AR2279" t="str">
            <v>11001</v>
          </cell>
        </row>
        <row r="2280">
          <cell r="A2280" t="str">
            <v>4410051100</v>
          </cell>
          <cell r="M2280">
            <v>18582523</v>
          </cell>
          <cell r="AR2280" t="str">
            <v>11001</v>
          </cell>
        </row>
        <row r="2281">
          <cell r="A2281" t="str">
            <v>4410051100</v>
          </cell>
          <cell r="M2281">
            <v>22457</v>
          </cell>
          <cell r="AR2281" t="str">
            <v>11001</v>
          </cell>
        </row>
        <row r="2282">
          <cell r="A2282" t="str">
            <v>4410051100</v>
          </cell>
          <cell r="M2282">
            <v>3068766</v>
          </cell>
          <cell r="AR2282" t="str">
            <v>11001</v>
          </cell>
        </row>
        <row r="2283">
          <cell r="A2283" t="str">
            <v>4410051100</v>
          </cell>
          <cell r="M2283">
            <v>924682</v>
          </cell>
          <cell r="AR2283" t="str">
            <v>11001</v>
          </cell>
        </row>
        <row r="2284">
          <cell r="A2284" t="str">
            <v>4410051100</v>
          </cell>
          <cell r="M2284">
            <v>73183</v>
          </cell>
          <cell r="AR2284" t="str">
            <v>11001</v>
          </cell>
        </row>
        <row r="2285">
          <cell r="A2285" t="str">
            <v>4410051100</v>
          </cell>
          <cell r="M2285">
            <v>932151</v>
          </cell>
          <cell r="AR2285" t="str">
            <v>11001</v>
          </cell>
        </row>
        <row r="2286">
          <cell r="A2286" t="str">
            <v>4410051100</v>
          </cell>
          <cell r="M2286">
            <v>398616494</v>
          </cell>
          <cell r="AR2286" t="str">
            <v>11001</v>
          </cell>
        </row>
        <row r="2287">
          <cell r="A2287" t="str">
            <v>4410051100</v>
          </cell>
          <cell r="M2287">
            <v>186764</v>
          </cell>
          <cell r="AR2287" t="str">
            <v>11001</v>
          </cell>
        </row>
        <row r="2288">
          <cell r="A2288" t="str">
            <v>4410051100</v>
          </cell>
          <cell r="M2288">
            <v>-274213</v>
          </cell>
          <cell r="AR2288" t="str">
            <v>11001</v>
          </cell>
        </row>
        <row r="2289">
          <cell r="A2289" t="str">
            <v>4410051100</v>
          </cell>
          <cell r="M2289">
            <v>4693269</v>
          </cell>
          <cell r="AR2289" t="str">
            <v>11001</v>
          </cell>
        </row>
        <row r="2290">
          <cell r="A2290" t="str">
            <v>4410051200</v>
          </cell>
          <cell r="M2290">
            <v>1445</v>
          </cell>
          <cell r="AR2290" t="str">
            <v>11001</v>
          </cell>
        </row>
        <row r="2291">
          <cell r="A2291" t="str">
            <v>4510050100</v>
          </cell>
          <cell r="M2291">
            <v>-120388308333</v>
          </cell>
          <cell r="AR2291" t="str">
            <v>11001</v>
          </cell>
        </row>
        <row r="2292">
          <cell r="A2292" t="str">
            <v>4510050200</v>
          </cell>
          <cell r="M2292">
            <v>-2753403936</v>
          </cell>
          <cell r="AR2292" t="str">
            <v>11001</v>
          </cell>
        </row>
        <row r="2293">
          <cell r="A2293" t="str">
            <v>4510050300</v>
          </cell>
          <cell r="M2293">
            <v>-341484230</v>
          </cell>
          <cell r="AR2293" t="str">
            <v>11001</v>
          </cell>
        </row>
        <row r="2294">
          <cell r="A2294" t="str">
            <v>4510050400</v>
          </cell>
          <cell r="M2294">
            <v>-6640676000</v>
          </cell>
          <cell r="AR2294" t="str">
            <v>11001</v>
          </cell>
        </row>
        <row r="2295">
          <cell r="A2295" t="str">
            <v>4510050500</v>
          </cell>
          <cell r="M2295">
            <v>-354944690</v>
          </cell>
          <cell r="AR2295" t="str">
            <v>11001</v>
          </cell>
        </row>
        <row r="2296">
          <cell r="A2296" t="str">
            <v>4510050600</v>
          </cell>
          <cell r="M2296">
            <v>-12870789600</v>
          </cell>
          <cell r="AR2296" t="str">
            <v>11001</v>
          </cell>
        </row>
        <row r="2297">
          <cell r="A2297" t="str">
            <v>1315050100-G</v>
          </cell>
          <cell r="M2297">
            <v>-564925927</v>
          </cell>
          <cell r="AR2297" t="str">
            <v>50001</v>
          </cell>
        </row>
        <row r="2298">
          <cell r="A2298" t="str">
            <v>4215050000</v>
          </cell>
          <cell r="M2298">
            <v>-702122754</v>
          </cell>
          <cell r="AR2298" t="str">
            <v>11001</v>
          </cell>
        </row>
        <row r="2299">
          <cell r="A2299" t="str">
            <v>4305050000</v>
          </cell>
          <cell r="M2299">
            <v>625929038</v>
          </cell>
          <cell r="AR2299" t="str">
            <v>11001</v>
          </cell>
        </row>
        <row r="2300">
          <cell r="A2300" t="str">
            <v>4305050000</v>
          </cell>
          <cell r="M2300">
            <v>-138543439</v>
          </cell>
          <cell r="AR2300" t="str">
            <v>11001</v>
          </cell>
        </row>
        <row r="2301">
          <cell r="A2301" t="str">
            <v>4305050000</v>
          </cell>
          <cell r="M2301">
            <v>-625929038</v>
          </cell>
          <cell r="AR2301" t="str">
            <v>11001</v>
          </cell>
        </row>
        <row r="2302">
          <cell r="A2302" t="str">
            <v>4305050000</v>
          </cell>
          <cell r="M2302">
            <v>74263355</v>
          </cell>
          <cell r="AR2302" t="str">
            <v>11001</v>
          </cell>
        </row>
        <row r="2303">
          <cell r="A2303" t="str">
            <v>4410051500</v>
          </cell>
          <cell r="M2303">
            <v>3531882386</v>
          </cell>
          <cell r="AR2303" t="str">
            <v>11001</v>
          </cell>
        </row>
        <row r="2304">
          <cell r="A2304" t="str">
            <v>4410051500</v>
          </cell>
          <cell r="M2304">
            <v>8862968967</v>
          </cell>
          <cell r="AR2304" t="str">
            <v>11001</v>
          </cell>
        </row>
        <row r="2305">
          <cell r="A2305" t="str">
            <v>4410051500</v>
          </cell>
          <cell r="M2305">
            <v>2829250</v>
          </cell>
          <cell r="AR2305" t="str">
            <v>11001</v>
          </cell>
        </row>
        <row r="2306">
          <cell r="A2306" t="str">
            <v>4410051500</v>
          </cell>
          <cell r="M2306">
            <v>295714</v>
          </cell>
          <cell r="AR2306" t="str">
            <v>11001</v>
          </cell>
        </row>
        <row r="2307">
          <cell r="A2307" t="str">
            <v>4215050000</v>
          </cell>
          <cell r="M2307">
            <v>702122754</v>
          </cell>
          <cell r="AR2307" t="str">
            <v>11001</v>
          </cell>
        </row>
        <row r="2308">
          <cell r="A2308" t="str">
            <v>4215050200</v>
          </cell>
          <cell r="M2308">
            <v>105181643</v>
          </cell>
          <cell r="AR2308" t="str">
            <v>11001</v>
          </cell>
        </row>
        <row r="2309">
          <cell r="A2309" t="str">
            <v>4305050900</v>
          </cell>
          <cell r="M2309">
            <v>-1619102354</v>
          </cell>
          <cell r="AR2309" t="str">
            <v>11001</v>
          </cell>
        </row>
        <row r="2310">
          <cell r="A2310" t="str">
            <v>4305051700</v>
          </cell>
          <cell r="M2310">
            <v>-208748</v>
          </cell>
          <cell r="AR2310" t="str">
            <v>11001</v>
          </cell>
        </row>
        <row r="2311">
          <cell r="A2311" t="str">
            <v>4305051700</v>
          </cell>
          <cell r="M2311">
            <v>-211553</v>
          </cell>
          <cell r="AR2311" t="str">
            <v>11001</v>
          </cell>
        </row>
        <row r="2312">
          <cell r="A2312" t="str">
            <v>4305051700</v>
          </cell>
          <cell r="M2312">
            <v>-78579</v>
          </cell>
          <cell r="AR2312" t="str">
            <v>11001</v>
          </cell>
        </row>
        <row r="2313">
          <cell r="A2313" t="str">
            <v>4305051700</v>
          </cell>
          <cell r="M2313">
            <v>-103965</v>
          </cell>
          <cell r="AR2313" t="str">
            <v>11001</v>
          </cell>
        </row>
        <row r="2314">
          <cell r="A2314" t="str">
            <v>4305051700</v>
          </cell>
          <cell r="M2314">
            <v>-69446</v>
          </cell>
          <cell r="AR2314" t="str">
            <v>11001</v>
          </cell>
        </row>
        <row r="2315">
          <cell r="A2315" t="str">
            <v>4305051700</v>
          </cell>
          <cell r="M2315">
            <v>-30777</v>
          </cell>
          <cell r="AR2315" t="str">
            <v>11001</v>
          </cell>
        </row>
        <row r="2316">
          <cell r="A2316" t="str">
            <v>4305051700</v>
          </cell>
          <cell r="M2316">
            <v>-208087</v>
          </cell>
          <cell r="AR2316" t="str">
            <v>11001</v>
          </cell>
        </row>
        <row r="2317">
          <cell r="A2317" t="str">
            <v>4305051700</v>
          </cell>
          <cell r="M2317">
            <v>-101651</v>
          </cell>
          <cell r="AR2317" t="str">
            <v>11001</v>
          </cell>
        </row>
        <row r="2318">
          <cell r="A2318" t="str">
            <v>4305051700</v>
          </cell>
          <cell r="M2318">
            <v>-105607</v>
          </cell>
          <cell r="AR2318" t="str">
            <v>11001</v>
          </cell>
        </row>
        <row r="2319">
          <cell r="A2319" t="str">
            <v>4305051700</v>
          </cell>
          <cell r="M2319">
            <v>-109584</v>
          </cell>
          <cell r="AR2319" t="str">
            <v>11001</v>
          </cell>
        </row>
        <row r="2320">
          <cell r="A2320" t="str">
            <v>4305051700</v>
          </cell>
          <cell r="M2320">
            <v>-52707</v>
          </cell>
          <cell r="AR2320" t="str">
            <v>11001</v>
          </cell>
        </row>
        <row r="2321">
          <cell r="A2321" t="str">
            <v>4305051700</v>
          </cell>
          <cell r="M2321">
            <v>-27578</v>
          </cell>
          <cell r="AR2321" t="str">
            <v>11001</v>
          </cell>
        </row>
        <row r="2322">
          <cell r="A2322" t="str">
            <v>4305051700</v>
          </cell>
          <cell r="M2322">
            <v>-37930</v>
          </cell>
          <cell r="AR2322" t="str">
            <v>11001</v>
          </cell>
        </row>
        <row r="2323">
          <cell r="A2323" t="str">
            <v>4305051700</v>
          </cell>
          <cell r="M2323">
            <v>-107232</v>
          </cell>
          <cell r="AR2323" t="str">
            <v>11001</v>
          </cell>
        </row>
        <row r="2324">
          <cell r="A2324" t="str">
            <v>4305051700</v>
          </cell>
          <cell r="M2324">
            <v>-212589</v>
          </cell>
          <cell r="AR2324" t="str">
            <v>11001</v>
          </cell>
        </row>
        <row r="2325">
          <cell r="A2325" t="str">
            <v>4305051700</v>
          </cell>
          <cell r="M2325">
            <v>-58060</v>
          </cell>
          <cell r="AR2325" t="str">
            <v>11001</v>
          </cell>
        </row>
        <row r="2326">
          <cell r="A2326" t="str">
            <v>4305051700</v>
          </cell>
          <cell r="M2326">
            <v>-28499</v>
          </cell>
          <cell r="AR2326" t="str">
            <v>11001</v>
          </cell>
        </row>
        <row r="2327">
          <cell r="A2327" t="str">
            <v>4305051700</v>
          </cell>
          <cell r="M2327">
            <v>-38859</v>
          </cell>
          <cell r="AR2327" t="str">
            <v>11001</v>
          </cell>
        </row>
        <row r="2328">
          <cell r="A2328" t="str">
            <v>4305051700</v>
          </cell>
          <cell r="M2328">
            <v>-64978</v>
          </cell>
          <cell r="AR2328" t="str">
            <v>11001</v>
          </cell>
        </row>
        <row r="2329">
          <cell r="A2329" t="str">
            <v>4305051700</v>
          </cell>
          <cell r="M2329">
            <v>-209411</v>
          </cell>
          <cell r="AR2329" t="str">
            <v>11001</v>
          </cell>
        </row>
        <row r="2330">
          <cell r="A2330" t="str">
            <v>4305051700</v>
          </cell>
          <cell r="M2330">
            <v>-46748</v>
          </cell>
          <cell r="AR2330" t="str">
            <v>11001</v>
          </cell>
        </row>
        <row r="2331">
          <cell r="A2331" t="str">
            <v>4305051700</v>
          </cell>
          <cell r="M2331">
            <v>-95629</v>
          </cell>
          <cell r="AR2331" t="str">
            <v>11001</v>
          </cell>
        </row>
        <row r="2332">
          <cell r="A2332" t="str">
            <v>4305051700</v>
          </cell>
          <cell r="M2332">
            <v>-53067</v>
          </cell>
          <cell r="AR2332" t="str">
            <v>11001</v>
          </cell>
        </row>
        <row r="2333">
          <cell r="A2333" t="str">
            <v>4305051700</v>
          </cell>
          <cell r="M2333">
            <v>-119258</v>
          </cell>
          <cell r="AR2333" t="str">
            <v>11001</v>
          </cell>
        </row>
        <row r="2334">
          <cell r="A2334" t="str">
            <v>4305051700</v>
          </cell>
          <cell r="M2334">
            <v>-72952</v>
          </cell>
          <cell r="AR2334" t="str">
            <v>11001</v>
          </cell>
        </row>
        <row r="2335">
          <cell r="A2335" t="str">
            <v>4305051700</v>
          </cell>
          <cell r="M2335">
            <v>-151740</v>
          </cell>
          <cell r="AR2335" t="str">
            <v>11001</v>
          </cell>
        </row>
        <row r="2336">
          <cell r="A2336" t="str">
            <v>4305051700</v>
          </cell>
          <cell r="M2336">
            <v>-82880</v>
          </cell>
          <cell r="AR2336" t="str">
            <v>11001</v>
          </cell>
        </row>
        <row r="2337">
          <cell r="A2337" t="str">
            <v>4305051700</v>
          </cell>
          <cell r="M2337">
            <v>-920</v>
          </cell>
          <cell r="AR2337" t="str">
            <v>11001</v>
          </cell>
        </row>
        <row r="2338">
          <cell r="A2338" t="str">
            <v>4305051700</v>
          </cell>
          <cell r="M2338">
            <v>-136840</v>
          </cell>
          <cell r="AR2338" t="str">
            <v>11001</v>
          </cell>
        </row>
        <row r="2339">
          <cell r="A2339" t="str">
            <v>4305051700</v>
          </cell>
          <cell r="M2339">
            <v>-56136</v>
          </cell>
          <cell r="AR2339" t="str">
            <v>11001</v>
          </cell>
        </row>
        <row r="2340">
          <cell r="A2340" t="str">
            <v>4305051700</v>
          </cell>
          <cell r="M2340">
            <v>-83427</v>
          </cell>
          <cell r="AR2340" t="str">
            <v>11001</v>
          </cell>
        </row>
        <row r="2341">
          <cell r="A2341" t="str">
            <v>4305051700</v>
          </cell>
          <cell r="M2341">
            <v>-75240</v>
          </cell>
          <cell r="AR2341" t="str">
            <v>11001</v>
          </cell>
        </row>
        <row r="2342">
          <cell r="A2342" t="str">
            <v>4305051700</v>
          </cell>
          <cell r="M2342">
            <v>-184092</v>
          </cell>
          <cell r="AR2342" t="str">
            <v>11001</v>
          </cell>
        </row>
        <row r="2343">
          <cell r="A2343" t="str">
            <v>4305051700</v>
          </cell>
          <cell r="M2343">
            <v>-106810</v>
          </cell>
          <cell r="AR2343" t="str">
            <v>11001</v>
          </cell>
        </row>
        <row r="2344">
          <cell r="A2344" t="str">
            <v>4305051700</v>
          </cell>
          <cell r="M2344">
            <v>-106527</v>
          </cell>
          <cell r="AR2344" t="str">
            <v>11001</v>
          </cell>
        </row>
        <row r="2345">
          <cell r="A2345" t="str">
            <v>4305051700</v>
          </cell>
          <cell r="M2345">
            <v>-103965</v>
          </cell>
          <cell r="AR2345" t="str">
            <v>11001</v>
          </cell>
        </row>
        <row r="2346">
          <cell r="A2346" t="str">
            <v>4305051700</v>
          </cell>
          <cell r="M2346">
            <v>-54229</v>
          </cell>
          <cell r="AR2346" t="str">
            <v>11001</v>
          </cell>
        </row>
        <row r="2347">
          <cell r="A2347" t="str">
            <v>4305051700</v>
          </cell>
          <cell r="M2347">
            <v>-89522</v>
          </cell>
          <cell r="AR2347" t="str">
            <v>11001</v>
          </cell>
        </row>
        <row r="2348">
          <cell r="A2348" t="str">
            <v>4305051700</v>
          </cell>
          <cell r="M2348">
            <v>-48176</v>
          </cell>
          <cell r="AR2348" t="str">
            <v>11001</v>
          </cell>
        </row>
        <row r="2349">
          <cell r="A2349" t="str">
            <v>4305051700</v>
          </cell>
          <cell r="M2349">
            <v>-46121</v>
          </cell>
          <cell r="AR2349" t="str">
            <v>11001</v>
          </cell>
        </row>
        <row r="2350">
          <cell r="A2350" t="str">
            <v>4305051700</v>
          </cell>
          <cell r="M2350">
            <v>-98929</v>
          </cell>
          <cell r="AR2350" t="str">
            <v>11001</v>
          </cell>
        </row>
        <row r="2351">
          <cell r="A2351" t="str">
            <v>4305051700</v>
          </cell>
          <cell r="M2351">
            <v>-69446</v>
          </cell>
          <cell r="AR2351" t="str">
            <v>11001</v>
          </cell>
        </row>
        <row r="2352">
          <cell r="A2352" t="str">
            <v>4305051700</v>
          </cell>
          <cell r="M2352">
            <v>-30113</v>
          </cell>
          <cell r="AR2352" t="str">
            <v>11001</v>
          </cell>
        </row>
        <row r="2353">
          <cell r="A2353" t="str">
            <v>4305051700</v>
          </cell>
          <cell r="M2353">
            <v>-19981</v>
          </cell>
          <cell r="AR2353" t="str">
            <v>11001</v>
          </cell>
        </row>
        <row r="2354">
          <cell r="A2354" t="str">
            <v>4305051700</v>
          </cell>
          <cell r="M2354">
            <v>-68369</v>
          </cell>
          <cell r="AR2354" t="str">
            <v>11001</v>
          </cell>
        </row>
        <row r="2355">
          <cell r="A2355" t="str">
            <v>4305051700</v>
          </cell>
          <cell r="M2355">
            <v>-95775</v>
          </cell>
          <cell r="AR2355" t="str">
            <v>11001</v>
          </cell>
        </row>
        <row r="2356">
          <cell r="A2356" t="str">
            <v>4305051700</v>
          </cell>
          <cell r="M2356">
            <v>-98354</v>
          </cell>
          <cell r="AR2356" t="str">
            <v>11001</v>
          </cell>
        </row>
        <row r="2357">
          <cell r="A2357" t="str">
            <v>4305051700</v>
          </cell>
          <cell r="M2357">
            <v>-87530</v>
          </cell>
          <cell r="AR2357" t="str">
            <v>11001</v>
          </cell>
        </row>
        <row r="2358">
          <cell r="A2358" t="str">
            <v>4305051700</v>
          </cell>
          <cell r="M2358">
            <v>-91568</v>
          </cell>
          <cell r="AR2358" t="str">
            <v>11001</v>
          </cell>
        </row>
        <row r="2359">
          <cell r="A2359" t="str">
            <v>4305051700</v>
          </cell>
          <cell r="M2359">
            <v>-64608</v>
          </cell>
          <cell r="AR2359" t="str">
            <v>11001</v>
          </cell>
        </row>
        <row r="2360">
          <cell r="A2360" t="str">
            <v>4305051700</v>
          </cell>
          <cell r="M2360">
            <v>-67275</v>
          </cell>
          <cell r="AR2360" t="str">
            <v>11001</v>
          </cell>
        </row>
        <row r="2361">
          <cell r="A2361" t="str">
            <v>4305051700</v>
          </cell>
          <cell r="M2361">
            <v>-20012</v>
          </cell>
          <cell r="AR2361" t="str">
            <v>11001</v>
          </cell>
        </row>
        <row r="2362">
          <cell r="A2362" t="str">
            <v>4305051700</v>
          </cell>
          <cell r="M2362">
            <v>-224575</v>
          </cell>
          <cell r="AR2362" t="str">
            <v>11001</v>
          </cell>
        </row>
        <row r="2363">
          <cell r="A2363" t="str">
            <v>4305051700</v>
          </cell>
          <cell r="M2363">
            <v>-72473</v>
          </cell>
          <cell r="AR2363" t="str">
            <v>11001</v>
          </cell>
        </row>
        <row r="2364">
          <cell r="A2364" t="str">
            <v>4305051700</v>
          </cell>
          <cell r="M2364">
            <v>-211971</v>
          </cell>
          <cell r="AR2364" t="str">
            <v>11001</v>
          </cell>
        </row>
        <row r="2365">
          <cell r="A2365" t="str">
            <v>4305051700</v>
          </cell>
          <cell r="M2365">
            <v>-98929</v>
          </cell>
          <cell r="AR2365" t="str">
            <v>11001</v>
          </cell>
        </row>
        <row r="2366">
          <cell r="A2366" t="str">
            <v>4305051700</v>
          </cell>
          <cell r="M2366">
            <v>-69446</v>
          </cell>
          <cell r="AR2366" t="str">
            <v>11001</v>
          </cell>
        </row>
        <row r="2367">
          <cell r="A2367" t="str">
            <v>4305051700</v>
          </cell>
          <cell r="M2367">
            <v>-137265</v>
          </cell>
          <cell r="AR2367" t="str">
            <v>11001</v>
          </cell>
        </row>
        <row r="2368">
          <cell r="A2368" t="str">
            <v>4305051700</v>
          </cell>
          <cell r="M2368">
            <v>-98031</v>
          </cell>
          <cell r="AR2368" t="str">
            <v>11001</v>
          </cell>
        </row>
        <row r="2369">
          <cell r="A2369" t="str">
            <v>4305051700</v>
          </cell>
          <cell r="M2369">
            <v>-132129</v>
          </cell>
          <cell r="AR2369" t="str">
            <v>11001</v>
          </cell>
        </row>
        <row r="2370">
          <cell r="A2370" t="str">
            <v>4305051700</v>
          </cell>
          <cell r="M2370">
            <v>-207428</v>
          </cell>
          <cell r="AR2370" t="str">
            <v>11001</v>
          </cell>
        </row>
        <row r="2371">
          <cell r="A2371" t="str">
            <v>4305051700</v>
          </cell>
          <cell r="M2371">
            <v>-103293</v>
          </cell>
          <cell r="AR2371" t="str">
            <v>11001</v>
          </cell>
        </row>
        <row r="2372">
          <cell r="A2372" t="str">
            <v>4305051700</v>
          </cell>
          <cell r="M2372">
            <v>-103965</v>
          </cell>
          <cell r="AR2372" t="str">
            <v>11001</v>
          </cell>
        </row>
        <row r="2373">
          <cell r="A2373" t="str">
            <v>4305051700</v>
          </cell>
          <cell r="M2373">
            <v>-170498</v>
          </cell>
          <cell r="AR2373" t="str">
            <v>11001</v>
          </cell>
        </row>
        <row r="2374">
          <cell r="A2374" t="str">
            <v>4305051700</v>
          </cell>
          <cell r="M2374">
            <v>-102844</v>
          </cell>
          <cell r="AR2374" t="str">
            <v>11001</v>
          </cell>
        </row>
        <row r="2375">
          <cell r="A2375" t="str">
            <v>4305051700</v>
          </cell>
          <cell r="M2375">
            <v>-79393</v>
          </cell>
          <cell r="AR2375" t="str">
            <v>11001</v>
          </cell>
        </row>
        <row r="2376">
          <cell r="A2376" t="str">
            <v>4305051700</v>
          </cell>
          <cell r="M2376">
            <v>-70508</v>
          </cell>
          <cell r="AR2376" t="str">
            <v>11001</v>
          </cell>
        </row>
        <row r="2377">
          <cell r="A2377" t="str">
            <v>4305051700</v>
          </cell>
          <cell r="M2377">
            <v>-48943</v>
          </cell>
          <cell r="AR2377" t="str">
            <v>11001</v>
          </cell>
        </row>
        <row r="2378">
          <cell r="A2378" t="str">
            <v>4305051700</v>
          </cell>
          <cell r="M2378">
            <v>-81669</v>
          </cell>
          <cell r="AR2378" t="str">
            <v>11001</v>
          </cell>
        </row>
        <row r="2379">
          <cell r="A2379" t="str">
            <v>4305051700</v>
          </cell>
          <cell r="M2379">
            <v>-183200</v>
          </cell>
          <cell r="AR2379" t="str">
            <v>11001</v>
          </cell>
        </row>
        <row r="2380">
          <cell r="A2380" t="str">
            <v>4305051700</v>
          </cell>
          <cell r="M2380">
            <v>-66844</v>
          </cell>
          <cell r="AR2380" t="str">
            <v>11001</v>
          </cell>
        </row>
        <row r="2381">
          <cell r="A2381" t="str">
            <v>4305051700</v>
          </cell>
          <cell r="M2381">
            <v>-104752</v>
          </cell>
          <cell r="AR2381" t="str">
            <v>11001</v>
          </cell>
        </row>
        <row r="2382">
          <cell r="A2382" t="str">
            <v>4305051700</v>
          </cell>
          <cell r="M2382">
            <v>-106426</v>
          </cell>
          <cell r="AR2382" t="str">
            <v>11001</v>
          </cell>
        </row>
        <row r="2383">
          <cell r="A2383" t="str">
            <v>4305051700</v>
          </cell>
          <cell r="M2383">
            <v>-119008</v>
          </cell>
          <cell r="AR2383" t="str">
            <v>11001</v>
          </cell>
        </row>
        <row r="2384">
          <cell r="A2384" t="str">
            <v>4305051700</v>
          </cell>
          <cell r="M2384">
            <v>-169085</v>
          </cell>
          <cell r="AR2384" t="str">
            <v>11001</v>
          </cell>
        </row>
        <row r="2385">
          <cell r="A2385" t="str">
            <v>4305051700</v>
          </cell>
          <cell r="M2385">
            <v>-34260</v>
          </cell>
          <cell r="AR2385" t="str">
            <v>11001</v>
          </cell>
        </row>
        <row r="2386">
          <cell r="A2386" t="str">
            <v>4305051700</v>
          </cell>
          <cell r="M2386">
            <v>-210692</v>
          </cell>
          <cell r="AR2386" t="str">
            <v>11001</v>
          </cell>
        </row>
        <row r="2387">
          <cell r="A2387" t="str">
            <v>4305051700</v>
          </cell>
          <cell r="M2387">
            <v>-37704</v>
          </cell>
          <cell r="AR2387" t="str">
            <v>11001</v>
          </cell>
        </row>
        <row r="2388">
          <cell r="A2388" t="str">
            <v>4305051700</v>
          </cell>
          <cell r="M2388">
            <v>-113868</v>
          </cell>
          <cell r="AR2388" t="str">
            <v>11001</v>
          </cell>
        </row>
        <row r="2389">
          <cell r="A2389" t="str">
            <v>4305051700</v>
          </cell>
          <cell r="M2389">
            <v>-21157</v>
          </cell>
          <cell r="AR2389" t="str">
            <v>11001</v>
          </cell>
        </row>
        <row r="2390">
          <cell r="A2390" t="str">
            <v>4305051700</v>
          </cell>
          <cell r="M2390">
            <v>-88821</v>
          </cell>
          <cell r="AR2390" t="str">
            <v>11001</v>
          </cell>
        </row>
        <row r="2391">
          <cell r="A2391" t="str">
            <v>4305051800</v>
          </cell>
          <cell r="M2391">
            <v>-846192852</v>
          </cell>
          <cell r="AR2391" t="str">
            <v>11001</v>
          </cell>
        </row>
        <row r="2392">
          <cell r="A2392" t="str">
            <v>4305051800</v>
          </cell>
          <cell r="M2392">
            <v>846192852</v>
          </cell>
          <cell r="AR2392" t="str">
            <v>11001</v>
          </cell>
        </row>
        <row r="2393">
          <cell r="A2393" t="str">
            <v>4305051900</v>
          </cell>
          <cell r="M2393">
            <v>-790140855</v>
          </cell>
          <cell r="AR2393" t="str">
            <v>11001</v>
          </cell>
        </row>
        <row r="2394">
          <cell r="A2394" t="str">
            <v>4305051900</v>
          </cell>
          <cell r="M2394">
            <v>790140855</v>
          </cell>
          <cell r="AR2394" t="str">
            <v>11001</v>
          </cell>
        </row>
        <row r="2395">
          <cell r="A2395" t="str">
            <v>4405050000</v>
          </cell>
          <cell r="M2395">
            <v>35680952</v>
          </cell>
          <cell r="AR2395" t="str">
            <v>11001</v>
          </cell>
        </row>
        <row r="2396">
          <cell r="A2396" t="str">
            <v>4405050000</v>
          </cell>
          <cell r="M2396">
            <v>173201075</v>
          </cell>
          <cell r="AR2396" t="str">
            <v>11001</v>
          </cell>
        </row>
        <row r="2397">
          <cell r="A2397" t="str">
            <v>4405050000</v>
          </cell>
          <cell r="M2397">
            <v>4748764</v>
          </cell>
          <cell r="AR2397" t="str">
            <v>11001</v>
          </cell>
        </row>
        <row r="2398">
          <cell r="A2398" t="str">
            <v>4405050000</v>
          </cell>
          <cell r="M2398">
            <v>14526662487</v>
          </cell>
          <cell r="AR2398" t="str">
            <v>11001</v>
          </cell>
        </row>
        <row r="2399">
          <cell r="A2399" t="str">
            <v>4405050000</v>
          </cell>
          <cell r="M2399">
            <v>593997</v>
          </cell>
          <cell r="AR2399" t="str">
            <v>11001</v>
          </cell>
        </row>
        <row r="2400">
          <cell r="A2400" t="str">
            <v>4405050500</v>
          </cell>
          <cell r="M2400">
            <v>17413070</v>
          </cell>
          <cell r="AR2400" t="str">
            <v>11001</v>
          </cell>
        </row>
        <row r="2401">
          <cell r="A2401" t="str">
            <v>4405050500</v>
          </cell>
          <cell r="M2401">
            <v>13650863</v>
          </cell>
          <cell r="AR2401" t="str">
            <v>11001</v>
          </cell>
        </row>
        <row r="2402">
          <cell r="A2402" t="str">
            <v>4405051100</v>
          </cell>
          <cell r="M2402">
            <v>178522737</v>
          </cell>
          <cell r="AR2402" t="str">
            <v>11001</v>
          </cell>
        </row>
        <row r="2403">
          <cell r="A2403" t="str">
            <v>4405051100</v>
          </cell>
          <cell r="M2403">
            <v>163274805</v>
          </cell>
          <cell r="AR2403" t="str">
            <v>11001</v>
          </cell>
        </row>
        <row r="2404">
          <cell r="A2404" t="str">
            <v>4405051100</v>
          </cell>
          <cell r="M2404">
            <v>28941906</v>
          </cell>
          <cell r="AR2404" t="str">
            <v>11001</v>
          </cell>
        </row>
        <row r="2405">
          <cell r="A2405" t="str">
            <v>4405051100</v>
          </cell>
          <cell r="M2405">
            <v>17206116</v>
          </cell>
          <cell r="AR2405" t="str">
            <v>11001</v>
          </cell>
        </row>
        <row r="2406">
          <cell r="A2406" t="str">
            <v>4405051500</v>
          </cell>
          <cell r="M2406">
            <v>639104</v>
          </cell>
          <cell r="AR2406" t="str">
            <v>11001</v>
          </cell>
        </row>
        <row r="2407">
          <cell r="A2407" t="str">
            <v>4405051500</v>
          </cell>
          <cell r="M2407">
            <v>-665278</v>
          </cell>
          <cell r="AR2407" t="str">
            <v>11001</v>
          </cell>
        </row>
        <row r="2408">
          <cell r="A2408" t="str">
            <v>4410050000</v>
          </cell>
          <cell r="M2408">
            <v>9802836315</v>
          </cell>
          <cell r="AR2408" t="str">
            <v>11001</v>
          </cell>
        </row>
        <row r="2409">
          <cell r="A2409" t="str">
            <v>4410050000</v>
          </cell>
          <cell r="M2409">
            <v>-8966157598</v>
          </cell>
          <cell r="AR2409" t="str">
            <v>11001</v>
          </cell>
        </row>
        <row r="2410">
          <cell r="A2410" t="str">
            <v>4410050000</v>
          </cell>
          <cell r="M2410">
            <v>-13261305</v>
          </cell>
          <cell r="AR2410" t="str">
            <v>11001</v>
          </cell>
        </row>
        <row r="2411">
          <cell r="A2411" t="str">
            <v>4410050000</v>
          </cell>
          <cell r="M2411">
            <v>-2827665</v>
          </cell>
          <cell r="AR2411" t="str">
            <v>11001</v>
          </cell>
        </row>
        <row r="2412">
          <cell r="A2412" t="str">
            <v>4410050100</v>
          </cell>
          <cell r="M2412">
            <v>-4002260000</v>
          </cell>
          <cell r="AR2412" t="str">
            <v>11001</v>
          </cell>
        </row>
        <row r="2413">
          <cell r="A2413" t="str">
            <v>4410050500</v>
          </cell>
          <cell r="M2413">
            <v>-283844249</v>
          </cell>
          <cell r="AR2413" t="str">
            <v>11001</v>
          </cell>
        </row>
        <row r="2414">
          <cell r="A2414" t="str">
            <v>4410050500</v>
          </cell>
          <cell r="M2414">
            <v>-147520127</v>
          </cell>
          <cell r="AR2414" t="str">
            <v>11001</v>
          </cell>
        </row>
        <row r="2415">
          <cell r="A2415" t="str">
            <v>4410050500</v>
          </cell>
          <cell r="M2415">
            <v>-254844884</v>
          </cell>
          <cell r="AR2415" t="str">
            <v>11001</v>
          </cell>
        </row>
        <row r="2416">
          <cell r="A2416" t="str">
            <v>4410050500</v>
          </cell>
          <cell r="M2416">
            <v>-8394722</v>
          </cell>
          <cell r="AR2416" t="str">
            <v>11001</v>
          </cell>
        </row>
        <row r="2417">
          <cell r="A2417" t="str">
            <v>4410050500</v>
          </cell>
          <cell r="M2417">
            <v>-3999194</v>
          </cell>
          <cell r="AR2417" t="str">
            <v>11001</v>
          </cell>
        </row>
        <row r="2418">
          <cell r="A2418" t="str">
            <v>4410050500</v>
          </cell>
          <cell r="M2418">
            <v>-227763731</v>
          </cell>
          <cell r="AR2418" t="str">
            <v>11001</v>
          </cell>
        </row>
        <row r="2419">
          <cell r="A2419" t="str">
            <v>4410050500</v>
          </cell>
          <cell r="M2419">
            <v>-1874407</v>
          </cell>
          <cell r="AR2419" t="str">
            <v>11001</v>
          </cell>
        </row>
        <row r="2420">
          <cell r="A2420" t="str">
            <v>4410050900</v>
          </cell>
          <cell r="M2420">
            <v>-1938992</v>
          </cell>
          <cell r="AR2420" t="str">
            <v>11001</v>
          </cell>
        </row>
        <row r="2421">
          <cell r="A2421" t="str">
            <v>4410050900</v>
          </cell>
          <cell r="M2421">
            <v>-991228</v>
          </cell>
          <cell r="AR2421" t="str">
            <v>11001</v>
          </cell>
        </row>
        <row r="2422">
          <cell r="A2422" t="str">
            <v>4410050900</v>
          </cell>
          <cell r="M2422">
            <v>-738412</v>
          </cell>
          <cell r="AR2422" t="str">
            <v>11001</v>
          </cell>
        </row>
        <row r="2423">
          <cell r="A2423" t="str">
            <v>4410050900</v>
          </cell>
          <cell r="M2423">
            <v>-4109240</v>
          </cell>
          <cell r="AR2423" t="str">
            <v>11001</v>
          </cell>
        </row>
        <row r="2424">
          <cell r="A2424" t="str">
            <v>4410051000</v>
          </cell>
          <cell r="M2424">
            <v>19885812669</v>
          </cell>
          <cell r="AR2424" t="str">
            <v>11001</v>
          </cell>
        </row>
        <row r="2425">
          <cell r="A2425" t="str">
            <v>4410051000</v>
          </cell>
          <cell r="M2425">
            <v>-356341160</v>
          </cell>
          <cell r="AR2425" t="str">
            <v>11001</v>
          </cell>
        </row>
        <row r="2426">
          <cell r="A2426" t="str">
            <v>4410051000</v>
          </cell>
          <cell r="M2426">
            <v>4971453167</v>
          </cell>
          <cell r="AR2426" t="str">
            <v>11001</v>
          </cell>
        </row>
        <row r="2427">
          <cell r="A2427" t="str">
            <v>4410051000</v>
          </cell>
          <cell r="M2427">
            <v>356341160</v>
          </cell>
          <cell r="AR2427" t="str">
            <v>11001</v>
          </cell>
        </row>
        <row r="2428">
          <cell r="A2428" t="str">
            <v>4410051000</v>
          </cell>
          <cell r="M2428">
            <v>-4971453167</v>
          </cell>
          <cell r="AR2428" t="str">
            <v>11001</v>
          </cell>
        </row>
        <row r="2429">
          <cell r="A2429" t="str">
            <v>4410051000</v>
          </cell>
          <cell r="M2429">
            <v>-29055498116</v>
          </cell>
          <cell r="AR2429" t="str">
            <v>11001</v>
          </cell>
        </row>
        <row r="2430">
          <cell r="A2430" t="str">
            <v>4410051000</v>
          </cell>
          <cell r="M2430">
            <v>-31622110643</v>
          </cell>
          <cell r="AR2430" t="str">
            <v>11001</v>
          </cell>
        </row>
        <row r="2431">
          <cell r="A2431" t="str">
            <v>4410051000</v>
          </cell>
          <cell r="M2431">
            <v>218826431104</v>
          </cell>
          <cell r="AR2431" t="str">
            <v>11001</v>
          </cell>
        </row>
        <row r="2432">
          <cell r="A2432" t="str">
            <v>4410051000</v>
          </cell>
          <cell r="M2432">
            <v>-19885812669</v>
          </cell>
          <cell r="AR2432" t="str">
            <v>11001</v>
          </cell>
        </row>
        <row r="2433">
          <cell r="A2433" t="str">
            <v>4410051000</v>
          </cell>
          <cell r="M2433">
            <v>-60321267599</v>
          </cell>
          <cell r="AR2433" t="str">
            <v>11001</v>
          </cell>
        </row>
        <row r="2434">
          <cell r="A2434" t="str">
            <v>4410051000</v>
          </cell>
          <cell r="M2434">
            <v>-187560661621</v>
          </cell>
          <cell r="AR2434" t="str">
            <v>11001</v>
          </cell>
        </row>
        <row r="2435">
          <cell r="A2435" t="str">
            <v>4410051000</v>
          </cell>
          <cell r="M2435">
            <v>-19885812669</v>
          </cell>
          <cell r="AR2435" t="str">
            <v>11001</v>
          </cell>
        </row>
        <row r="2436">
          <cell r="A2436" t="str">
            <v>4410051000</v>
          </cell>
          <cell r="M2436">
            <v>356341160</v>
          </cell>
          <cell r="AR2436" t="str">
            <v>11001</v>
          </cell>
        </row>
        <row r="2437">
          <cell r="A2437" t="str">
            <v>4410051000</v>
          </cell>
          <cell r="M2437">
            <v>4971453167</v>
          </cell>
          <cell r="AR2437" t="str">
            <v>11001</v>
          </cell>
        </row>
        <row r="2438">
          <cell r="A2438" t="str">
            <v>4410051000</v>
          </cell>
          <cell r="M2438">
            <v>-4971453167</v>
          </cell>
          <cell r="AR2438" t="str">
            <v>11001</v>
          </cell>
        </row>
        <row r="2439">
          <cell r="A2439" t="str">
            <v>4410051000</v>
          </cell>
          <cell r="M2439">
            <v>19885812669</v>
          </cell>
          <cell r="AR2439" t="str">
            <v>11001</v>
          </cell>
        </row>
        <row r="2440">
          <cell r="A2440" t="str">
            <v>4410051000</v>
          </cell>
          <cell r="M2440">
            <v>356341160</v>
          </cell>
          <cell r="AR2440" t="str">
            <v>11001</v>
          </cell>
        </row>
        <row r="2441">
          <cell r="A2441" t="str">
            <v>4410051000</v>
          </cell>
          <cell r="M2441">
            <v>-356341160</v>
          </cell>
          <cell r="AR2441" t="str">
            <v>11001</v>
          </cell>
        </row>
        <row r="2442">
          <cell r="A2442" t="str">
            <v>4410051000</v>
          </cell>
          <cell r="M2442">
            <v>-356341160</v>
          </cell>
          <cell r="AR2442" t="str">
            <v>11001</v>
          </cell>
        </row>
        <row r="2443">
          <cell r="A2443" t="str">
            <v>4410051000</v>
          </cell>
          <cell r="M2443">
            <v>58110996232</v>
          </cell>
          <cell r="AR2443" t="str">
            <v>11001</v>
          </cell>
        </row>
        <row r="2444">
          <cell r="A2444" t="str">
            <v>4410051000</v>
          </cell>
          <cell r="M2444">
            <v>31622110643</v>
          </cell>
          <cell r="AR2444" t="str">
            <v>11001</v>
          </cell>
        </row>
        <row r="2445">
          <cell r="A2445" t="str">
            <v>4410051100</v>
          </cell>
          <cell r="M2445">
            <v>-77560058</v>
          </cell>
          <cell r="AR2445" t="str">
            <v>11001</v>
          </cell>
        </row>
        <row r="2446">
          <cell r="A2446" t="str">
            <v>4410051100</v>
          </cell>
          <cell r="M2446">
            <v>328464</v>
          </cell>
          <cell r="AR2446" t="str">
            <v>11001</v>
          </cell>
        </row>
        <row r="2447">
          <cell r="A2447" t="str">
            <v>4410051100</v>
          </cell>
          <cell r="M2447">
            <v>-92763</v>
          </cell>
          <cell r="AR2447" t="str">
            <v>11001</v>
          </cell>
        </row>
        <row r="2448">
          <cell r="A2448" t="str">
            <v>4410051100</v>
          </cell>
          <cell r="M2448">
            <v>-3068766</v>
          </cell>
          <cell r="AR2448" t="str">
            <v>11001</v>
          </cell>
        </row>
        <row r="2449">
          <cell r="A2449" t="str">
            <v>4410051100</v>
          </cell>
          <cell r="M2449">
            <v>-141700</v>
          </cell>
          <cell r="AR2449" t="str">
            <v>11001</v>
          </cell>
        </row>
        <row r="2450">
          <cell r="A2450" t="str">
            <v>4410051100</v>
          </cell>
          <cell r="M2450">
            <v>-932151</v>
          </cell>
          <cell r="AR2450" t="str">
            <v>11001</v>
          </cell>
        </row>
        <row r="2451">
          <cell r="A2451" t="str">
            <v>4410051100</v>
          </cell>
          <cell r="M2451">
            <v>328464</v>
          </cell>
          <cell r="AR2451" t="str">
            <v>11001</v>
          </cell>
        </row>
        <row r="2452">
          <cell r="A2452" t="str">
            <v>4410051100</v>
          </cell>
          <cell r="M2452">
            <v>-977564</v>
          </cell>
          <cell r="AR2452" t="str">
            <v>11001</v>
          </cell>
        </row>
        <row r="2453">
          <cell r="A2453" t="str">
            <v>4410051100</v>
          </cell>
          <cell r="M2453">
            <v>-338661395</v>
          </cell>
          <cell r="AR2453" t="str">
            <v>11001</v>
          </cell>
        </row>
        <row r="2454">
          <cell r="A2454" t="str">
            <v>4410051100</v>
          </cell>
          <cell r="M2454">
            <v>-2877</v>
          </cell>
          <cell r="AR2454" t="str">
            <v>11001</v>
          </cell>
        </row>
        <row r="2455">
          <cell r="A2455" t="str">
            <v>4410051100</v>
          </cell>
          <cell r="M2455">
            <v>52882</v>
          </cell>
          <cell r="AR2455" t="str">
            <v>11001</v>
          </cell>
        </row>
        <row r="2456">
          <cell r="A2456" t="str">
            <v>4410051100</v>
          </cell>
          <cell r="M2456">
            <v>-703351</v>
          </cell>
          <cell r="AR2456" t="str">
            <v>11001</v>
          </cell>
        </row>
        <row r="2457">
          <cell r="A2457" t="str">
            <v>4410051100</v>
          </cell>
          <cell r="M2457">
            <v>141700</v>
          </cell>
          <cell r="AR2457" t="str">
            <v>11001</v>
          </cell>
        </row>
        <row r="2458">
          <cell r="A2458" t="str">
            <v>4410051100</v>
          </cell>
          <cell r="M2458">
            <v>-4693269</v>
          </cell>
          <cell r="AR2458" t="str">
            <v>11001</v>
          </cell>
        </row>
        <row r="2459">
          <cell r="A2459" t="str">
            <v>4410051200</v>
          </cell>
          <cell r="M2459">
            <v>-1445</v>
          </cell>
          <cell r="AR2459" t="str">
            <v>11001</v>
          </cell>
        </row>
        <row r="2460">
          <cell r="A2460" t="str">
            <v>4410051200</v>
          </cell>
          <cell r="M2460">
            <v>-4955</v>
          </cell>
          <cell r="AR2460" t="str">
            <v>11001</v>
          </cell>
        </row>
        <row r="2461">
          <cell r="A2461" t="str">
            <v>4410051200</v>
          </cell>
          <cell r="M2461">
            <v>-40505006</v>
          </cell>
          <cell r="AR2461" t="str">
            <v>11001</v>
          </cell>
        </row>
        <row r="2462">
          <cell r="A2462" t="str">
            <v>4410051200</v>
          </cell>
          <cell r="M2462">
            <v>-3625610504</v>
          </cell>
          <cell r="AR2462" t="str">
            <v>11001</v>
          </cell>
        </row>
        <row r="2463">
          <cell r="A2463" t="str">
            <v>4410051200</v>
          </cell>
          <cell r="M2463">
            <v>-42042</v>
          </cell>
          <cell r="AR2463" t="str">
            <v>11001</v>
          </cell>
        </row>
        <row r="2464">
          <cell r="A2464" t="str">
            <v>4410051200</v>
          </cell>
          <cell r="M2464">
            <v>-7737029112</v>
          </cell>
          <cell r="AR2464" t="str">
            <v>11001</v>
          </cell>
        </row>
        <row r="2465">
          <cell r="A2465" t="str">
            <v>4410051500</v>
          </cell>
          <cell r="M2465">
            <v>-10066067484</v>
          </cell>
          <cell r="AR2465" t="str">
            <v>11001</v>
          </cell>
        </row>
        <row r="2466">
          <cell r="A2466" t="str">
            <v>4410051500</v>
          </cell>
          <cell r="M2466">
            <v>-602745866</v>
          </cell>
          <cell r="AR2466" t="str">
            <v>11001</v>
          </cell>
        </row>
        <row r="2467">
          <cell r="A2467" t="str">
            <v>4410051500</v>
          </cell>
          <cell r="M2467">
            <v>-349888962</v>
          </cell>
          <cell r="AR2467" t="str">
            <v>11001</v>
          </cell>
        </row>
        <row r="2468">
          <cell r="A2468" t="str">
            <v>4410051500</v>
          </cell>
          <cell r="M2468">
            <v>-4000211079</v>
          </cell>
          <cell r="AR2468" t="str">
            <v>11001</v>
          </cell>
        </row>
        <row r="2469">
          <cell r="A2469" t="str">
            <v>4410051500</v>
          </cell>
          <cell r="M2469">
            <v>-5231963</v>
          </cell>
          <cell r="AR2469" t="str">
            <v>11001</v>
          </cell>
        </row>
        <row r="2470">
          <cell r="A2470" t="str">
            <v>4505050000</v>
          </cell>
          <cell r="M2470">
            <v>-55162081838</v>
          </cell>
          <cell r="AR2470" t="str">
            <v>11001</v>
          </cell>
        </row>
        <row r="2471">
          <cell r="A2471" t="str">
            <v>4505050500</v>
          </cell>
          <cell r="M2471">
            <v>-23758537700</v>
          </cell>
          <cell r="AR2471" t="str">
            <v>11001</v>
          </cell>
        </row>
        <row r="2472">
          <cell r="A2472" t="str">
            <v>4505050700</v>
          </cell>
          <cell r="M2472">
            <v>-367066690</v>
          </cell>
          <cell r="AR2472" t="str">
            <v>11001</v>
          </cell>
        </row>
        <row r="2473">
          <cell r="A2473" t="str">
            <v>4505050900</v>
          </cell>
          <cell r="M2473">
            <v>-834397980</v>
          </cell>
          <cell r="AR2473" t="str">
            <v>11001</v>
          </cell>
        </row>
        <row r="2474">
          <cell r="A2474" t="str">
            <v>4505051000</v>
          </cell>
          <cell r="M2474">
            <v>-5604443276</v>
          </cell>
          <cell r="AR2474" t="str">
            <v>11001</v>
          </cell>
        </row>
        <row r="2475">
          <cell r="A2475" t="str">
            <v>4505051500</v>
          </cell>
          <cell r="M2475">
            <v>-2346685181</v>
          </cell>
          <cell r="AR2475" t="str">
            <v>11001</v>
          </cell>
        </row>
        <row r="2476">
          <cell r="A2476" t="str">
            <v>4505051600</v>
          </cell>
          <cell r="M2476">
            <v>-380190</v>
          </cell>
          <cell r="AR2476" t="str">
            <v>11001</v>
          </cell>
        </row>
        <row r="2477">
          <cell r="A2477" t="str">
            <v>4505052000</v>
          </cell>
          <cell r="M2477">
            <v>-330936823</v>
          </cell>
          <cell r="AR2477" t="str">
            <v>11001</v>
          </cell>
        </row>
        <row r="2478">
          <cell r="A2478" t="str">
            <v>4505054000</v>
          </cell>
          <cell r="M2478">
            <v>-931995306</v>
          </cell>
          <cell r="AR2478" t="str">
            <v>11001</v>
          </cell>
        </row>
        <row r="2479">
          <cell r="A2479" t="str">
            <v>4510050100</v>
          </cell>
          <cell r="M2479">
            <v>-28151473557</v>
          </cell>
          <cell r="AR2479" t="str">
            <v>11001</v>
          </cell>
        </row>
        <row r="2480">
          <cell r="A2480" t="str">
            <v>4510050200</v>
          </cell>
          <cell r="M2480">
            <v>-13038311832</v>
          </cell>
          <cell r="AR2480" t="str">
            <v>11001</v>
          </cell>
        </row>
        <row r="2481">
          <cell r="A2481" t="str">
            <v>4510050300</v>
          </cell>
          <cell r="M2481">
            <v>-8468613066</v>
          </cell>
          <cell r="AR2481" t="str">
            <v>11001</v>
          </cell>
        </row>
        <row r="2482">
          <cell r="A2482" t="str">
            <v>4510050400</v>
          </cell>
          <cell r="M2482">
            <v>-5988091468</v>
          </cell>
          <cell r="AR2482" t="str">
            <v>11001</v>
          </cell>
        </row>
        <row r="2483">
          <cell r="A2483" t="str">
            <v>4510050600</v>
          </cell>
          <cell r="M2483">
            <v>-8371013980</v>
          </cell>
          <cell r="AR2483" t="str">
            <v>11001</v>
          </cell>
        </row>
        <row r="2484">
          <cell r="A2484" t="str">
            <v>4510050600</v>
          </cell>
          <cell r="M2484">
            <v>-46177200</v>
          </cell>
          <cell r="AR2484" t="str">
            <v>11001</v>
          </cell>
        </row>
        <row r="2485">
          <cell r="A2485" t="str">
            <v>4515050400</v>
          </cell>
          <cell r="M2485">
            <v>-19128483363</v>
          </cell>
          <cell r="AR2485" t="str">
            <v>11001</v>
          </cell>
        </row>
      </sheetData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chmarks"/>
      <sheetName val="Benchmarks Data"/>
      <sheetName val="Instructions"/>
      <sheetName val="TargetsLeases"/>
      <sheetName val="AcquirerLeases"/>
      <sheetName val="DataInput"/>
      <sheetName val="Standalone"/>
      <sheetName val="AllDebt"/>
      <sheetName val="AllDebt2"/>
      <sheetName val="DebtEquity Case 2"/>
      <sheetName val="DebtEquity Case 3"/>
      <sheetName val="Financial Summary"/>
      <sheetName val="Graphs"/>
      <sheetName val="Developer Notes"/>
      <sheetName val="LTM"/>
      <sheetName val="CREDIT STATS"/>
      <sheetName val="Toggles"/>
      <sheetName val="dPrint"/>
      <sheetName val="DropZone"/>
      <sheetName val="BR.ONLY R$"/>
      <sheetName val="POR HMR"/>
      <sheetName val="POR MERIT"/>
      <sheetName val="steel"/>
      <sheetName val="Ventas Totales"/>
      <sheetName val="BDK_Debt Capacity 11"/>
      <sheetName val="Benchmarks_Data"/>
      <sheetName val="DebtEquity_Case_2"/>
      <sheetName val="DebtEquity_Case_3"/>
      <sheetName val="Financial_Summary"/>
      <sheetName val="Developer_Notes"/>
      <sheetName val="CREDIT_STATS"/>
      <sheetName val="BR_ONLY_R$"/>
      <sheetName val="AÑO 2001"/>
      <sheetName val="Cobertura"/>
      <sheetName val="VENTAS"/>
      <sheetName val="FORMATOENE99"/>
      <sheetName val="Tasas de interes"/>
      <sheetName val="Tradedebtor"/>
      <sheetName val="ESTAD. PESOS BANDA ENE-AGO 2002"/>
      <sheetName val="CCP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22"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L22" t="e">
            <v>#REF!</v>
          </cell>
          <cell r="M22" t="e">
            <v>#REF!</v>
          </cell>
          <cell r="N22" t="e">
            <v>#REF!</v>
          </cell>
        </row>
        <row r="24"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L24" t="e">
            <v>#REF!</v>
          </cell>
          <cell r="M24" t="e">
            <v>#REF!</v>
          </cell>
          <cell r="N24" t="e">
            <v>#REF!</v>
          </cell>
        </row>
        <row r="25"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L25" t="e">
            <v>#REF!</v>
          </cell>
          <cell r="M25" t="e">
            <v>#REF!</v>
          </cell>
          <cell r="N25" t="e">
            <v>#REF!</v>
          </cell>
        </row>
        <row r="26">
          <cell r="G26" t="str">
            <v>______</v>
          </cell>
          <cell r="H26" t="str">
            <v>______</v>
          </cell>
          <cell r="I26" t="str">
            <v>______</v>
          </cell>
          <cell r="J26" t="str">
            <v>______</v>
          </cell>
          <cell r="L26" t="str">
            <v>______</v>
          </cell>
          <cell r="M26" t="str">
            <v>______</v>
          </cell>
          <cell r="N26" t="str">
            <v>______</v>
          </cell>
        </row>
        <row r="27"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L27" t="e">
            <v>#REF!</v>
          </cell>
          <cell r="M27" t="e">
            <v>#REF!</v>
          </cell>
          <cell r="N27" t="e">
            <v>#REF!</v>
          </cell>
        </row>
        <row r="29"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L29" t="e">
            <v>#REF!</v>
          </cell>
          <cell r="M29" t="e">
            <v>#REF!</v>
          </cell>
          <cell r="N29" t="e">
            <v>#REF!</v>
          </cell>
        </row>
        <row r="30"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L30" t="e">
            <v>#REF!</v>
          </cell>
          <cell r="M30" t="e">
            <v>#REF!</v>
          </cell>
          <cell r="N30" t="e">
            <v>#REF!</v>
          </cell>
        </row>
        <row r="31">
          <cell r="G31" t="str">
            <v>______</v>
          </cell>
          <cell r="H31" t="str">
            <v>______</v>
          </cell>
          <cell r="I31" t="str">
            <v>______</v>
          </cell>
          <cell r="J31" t="str">
            <v>______</v>
          </cell>
          <cell r="L31" t="str">
            <v>______</v>
          </cell>
          <cell r="M31" t="str">
            <v>______</v>
          </cell>
          <cell r="N31" t="str">
            <v>______</v>
          </cell>
        </row>
        <row r="32"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L32" t="e">
            <v>#REF!</v>
          </cell>
          <cell r="M32" t="e">
            <v>#REF!</v>
          </cell>
          <cell r="N32" t="e">
            <v>#REF!</v>
          </cell>
        </row>
        <row r="34">
          <cell r="G34" t="e">
            <v>#REF!</v>
          </cell>
          <cell r="H34" t="e">
            <v>#REF!</v>
          </cell>
          <cell r="I34" t="e">
            <v>#REF!</v>
          </cell>
          <cell r="J34" t="e">
            <v>#REF!</v>
          </cell>
          <cell r="L34" t="e">
            <v>#REF!</v>
          </cell>
          <cell r="M34" t="e">
            <v>#REF!</v>
          </cell>
          <cell r="N34" t="e">
            <v>#REF!</v>
          </cell>
        </row>
        <row r="35">
          <cell r="G35" t="e">
            <v>#REF!</v>
          </cell>
          <cell r="H35" t="e">
            <v>#REF!</v>
          </cell>
          <cell r="I35" t="e">
            <v>#REF!</v>
          </cell>
          <cell r="J35" t="e">
            <v>#REF!</v>
          </cell>
          <cell r="L35" t="e">
            <v>#REF!</v>
          </cell>
          <cell r="M35" t="e">
            <v>#REF!</v>
          </cell>
          <cell r="N35" t="e">
            <v>#REF!</v>
          </cell>
        </row>
        <row r="36"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</row>
        <row r="38"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L38" t="e">
            <v>#REF!</v>
          </cell>
          <cell r="M38" t="e">
            <v>#REF!</v>
          </cell>
          <cell r="N38" t="e">
            <v>#REF!</v>
          </cell>
        </row>
        <row r="41"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  <cell r="L41" t="e">
            <v>#REF!</v>
          </cell>
          <cell r="M41" t="e">
            <v>#REF!</v>
          </cell>
          <cell r="N41" t="e">
            <v>#REF!</v>
          </cell>
        </row>
        <row r="42">
          <cell r="G42" t="str">
            <v>______</v>
          </cell>
          <cell r="H42" t="str">
            <v>______</v>
          </cell>
          <cell r="I42" t="str">
            <v>______</v>
          </cell>
          <cell r="J42" t="str">
            <v>______</v>
          </cell>
          <cell r="L42" t="str">
            <v>______</v>
          </cell>
          <cell r="M42" t="str">
            <v>______</v>
          </cell>
          <cell r="N42" t="str">
            <v>______</v>
          </cell>
        </row>
        <row r="43">
          <cell r="G43" t="e">
            <v>#REF!</v>
          </cell>
          <cell r="H43" t="e">
            <v>#REF!</v>
          </cell>
          <cell r="I43" t="e">
            <v>#REF!</v>
          </cell>
          <cell r="J43" t="e">
            <v>#REF!</v>
          </cell>
          <cell r="L43" t="e">
            <v>#REF!</v>
          </cell>
          <cell r="M43" t="e">
            <v>#REF!</v>
          </cell>
          <cell r="N43" t="e">
            <v>#REF!</v>
          </cell>
        </row>
        <row r="45">
          <cell r="G45" t="e">
            <v>#REF!</v>
          </cell>
          <cell r="H45" t="e">
            <v>#REF!</v>
          </cell>
          <cell r="I45" t="e">
            <v>#REF!</v>
          </cell>
          <cell r="J45" t="e">
            <v>#REF!</v>
          </cell>
          <cell r="L45" t="e">
            <v>#REF!</v>
          </cell>
          <cell r="M45" t="e">
            <v>#REF!</v>
          </cell>
          <cell r="N45" t="e">
            <v>#REF!</v>
          </cell>
        </row>
        <row r="46"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L46" t="e">
            <v>#REF!</v>
          </cell>
          <cell r="M46" t="e">
            <v>#REF!</v>
          </cell>
          <cell r="N46" t="e">
            <v>#REF!</v>
          </cell>
        </row>
        <row r="47">
          <cell r="G47" t="str">
            <v>______</v>
          </cell>
          <cell r="H47" t="str">
            <v>______</v>
          </cell>
          <cell r="I47" t="str">
            <v>______</v>
          </cell>
          <cell r="J47" t="str">
            <v>______</v>
          </cell>
          <cell r="L47" t="str">
            <v>______</v>
          </cell>
          <cell r="M47" t="str">
            <v>______</v>
          </cell>
          <cell r="N47" t="str">
            <v>______</v>
          </cell>
        </row>
        <row r="48"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</row>
        <row r="51">
          <cell r="G51" t="e">
            <v>#REF!</v>
          </cell>
          <cell r="H51" t="e">
            <v>#REF!</v>
          </cell>
          <cell r="I51" t="e">
            <v>#REF!</v>
          </cell>
          <cell r="J51" t="e">
            <v>#REF!</v>
          </cell>
          <cell r="L51" t="e">
            <v>#REF!</v>
          </cell>
          <cell r="M51" t="e">
            <v>#REF!</v>
          </cell>
          <cell r="N51" t="e">
            <v>#REF!</v>
          </cell>
        </row>
        <row r="71">
          <cell r="G71" t="str">
            <v>______</v>
          </cell>
          <cell r="H71" t="str">
            <v>______</v>
          </cell>
          <cell r="I71" t="str">
            <v>______</v>
          </cell>
          <cell r="J71" t="str">
            <v>______</v>
          </cell>
          <cell r="L71" t="str">
            <v>______</v>
          </cell>
          <cell r="M71" t="str">
            <v>______</v>
          </cell>
          <cell r="N71" t="str">
            <v>______</v>
          </cell>
        </row>
        <row r="72">
          <cell r="G72" t="e">
            <v>#REF!</v>
          </cell>
          <cell r="H72" t="e">
            <v>#REF!</v>
          </cell>
          <cell r="I72" t="e">
            <v>#REF!</v>
          </cell>
          <cell r="J72" t="e">
            <v>#REF!</v>
          </cell>
          <cell r="L72" t="e">
            <v>#REF!</v>
          </cell>
          <cell r="M72" t="e">
            <v>#REF!</v>
          </cell>
          <cell r="N72" t="e">
            <v>#REF!</v>
          </cell>
        </row>
        <row r="73">
          <cell r="G73" t="e">
            <v>#REF!</v>
          </cell>
          <cell r="H73" t="e">
            <v>#REF!</v>
          </cell>
          <cell r="I73" t="e">
            <v>#REF!</v>
          </cell>
          <cell r="J73" t="e">
            <v>#REF!</v>
          </cell>
          <cell r="L73" t="e">
            <v>#REF!</v>
          </cell>
          <cell r="M73" t="e">
            <v>#REF!</v>
          </cell>
          <cell r="N73" t="e">
            <v>#REF!</v>
          </cell>
        </row>
        <row r="75">
          <cell r="G75" t="e">
            <v>#REF!</v>
          </cell>
          <cell r="H75" t="e">
            <v>#REF!</v>
          </cell>
          <cell r="I75" t="e">
            <v>#REF!</v>
          </cell>
          <cell r="J75" t="e">
            <v>#REF!</v>
          </cell>
          <cell r="L75" t="e">
            <v>#REF!</v>
          </cell>
          <cell r="M75" t="e">
            <v>#REF!</v>
          </cell>
          <cell r="N75" t="e">
            <v>#REF!</v>
          </cell>
        </row>
        <row r="76"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</row>
        <row r="77">
          <cell r="G77" t="e">
            <v>#REF!</v>
          </cell>
          <cell r="H77" t="e">
            <v>#REF!</v>
          </cell>
          <cell r="I77" t="e">
            <v>#REF!</v>
          </cell>
          <cell r="J77" t="e">
            <v>#REF!</v>
          </cell>
          <cell r="L77" t="e">
            <v>#REF!</v>
          </cell>
          <cell r="M77" t="e">
            <v>#REF!</v>
          </cell>
          <cell r="N77" t="e">
            <v>#REF!</v>
          </cell>
        </row>
        <row r="78">
          <cell r="G78" t="e">
            <v>#REF!</v>
          </cell>
          <cell r="H78" t="e">
            <v>#REF!</v>
          </cell>
          <cell r="I78" t="e">
            <v>#REF!</v>
          </cell>
          <cell r="J78" t="e">
            <v>#REF!</v>
          </cell>
          <cell r="L78" t="e">
            <v>#REF!</v>
          </cell>
          <cell r="M78" t="e">
            <v>#REF!</v>
          </cell>
          <cell r="N78" t="e">
            <v>#REF!</v>
          </cell>
        </row>
        <row r="79">
          <cell r="G79" t="e">
            <v>#REF!</v>
          </cell>
          <cell r="H79" t="e">
            <v>#REF!</v>
          </cell>
          <cell r="I79" t="e">
            <v>#REF!</v>
          </cell>
          <cell r="J79" t="e">
            <v>#REF!</v>
          </cell>
          <cell r="L79" t="e">
            <v>#REF!</v>
          </cell>
          <cell r="M79" t="e">
            <v>#REF!</v>
          </cell>
          <cell r="N79" t="e">
            <v>#REF!</v>
          </cell>
        </row>
        <row r="80">
          <cell r="G80" t="str">
            <v>______</v>
          </cell>
          <cell r="H80" t="str">
            <v>______</v>
          </cell>
          <cell r="I80" t="str">
            <v>______</v>
          </cell>
          <cell r="J80" t="str">
            <v>______</v>
          </cell>
          <cell r="L80" t="str">
            <v>______</v>
          </cell>
          <cell r="M80" t="str">
            <v>______</v>
          </cell>
          <cell r="N80" t="str">
            <v>______</v>
          </cell>
        </row>
        <row r="81">
          <cell r="G81" t="e">
            <v>#REF!</v>
          </cell>
          <cell r="H81" t="e">
            <v>#REF!</v>
          </cell>
          <cell r="I81" t="e">
            <v>#REF!</v>
          </cell>
          <cell r="J81" t="e">
            <v>#REF!</v>
          </cell>
          <cell r="L81" t="e">
            <v>#REF!</v>
          </cell>
          <cell r="M81" t="e">
            <v>#REF!</v>
          </cell>
          <cell r="N81" t="e">
            <v>#REF!</v>
          </cell>
        </row>
        <row r="86">
          <cell r="G86" t="e">
            <v>#REF!</v>
          </cell>
          <cell r="H86" t="e">
            <v>#REF!</v>
          </cell>
          <cell r="I86" t="e">
            <v>#REF!</v>
          </cell>
          <cell r="J86" t="e">
            <v>#REF!</v>
          </cell>
          <cell r="L86" t="e">
            <v>#REF!</v>
          </cell>
          <cell r="M86" t="e">
            <v>#REF!</v>
          </cell>
          <cell r="N86" t="e">
            <v>#REF!</v>
          </cell>
        </row>
        <row r="87">
          <cell r="G87" t="e">
            <v>#REF!</v>
          </cell>
          <cell r="H87" t="e">
            <v>#REF!</v>
          </cell>
          <cell r="I87" t="e">
            <v>#REF!</v>
          </cell>
          <cell r="J87" t="e">
            <v>#REF!</v>
          </cell>
          <cell r="L87" t="e">
            <v>#REF!</v>
          </cell>
          <cell r="M87" t="e">
            <v>#REF!</v>
          </cell>
          <cell r="N87" t="e">
            <v>#REF!</v>
          </cell>
        </row>
        <row r="88">
          <cell r="G88" t="str">
            <v>______</v>
          </cell>
          <cell r="H88" t="str">
            <v>______</v>
          </cell>
          <cell r="I88" t="str">
            <v>______</v>
          </cell>
          <cell r="J88" t="str">
            <v>______</v>
          </cell>
          <cell r="L88" t="str">
            <v>______</v>
          </cell>
          <cell r="M88" t="str">
            <v>______</v>
          </cell>
          <cell r="N88" t="str">
            <v>______</v>
          </cell>
        </row>
        <row r="89">
          <cell r="G89" t="e">
            <v>#REF!</v>
          </cell>
          <cell r="H89" t="e">
            <v>#REF!</v>
          </cell>
          <cell r="I89" t="e">
            <v>#REF!</v>
          </cell>
          <cell r="J89" t="e">
            <v>#REF!</v>
          </cell>
          <cell r="L89" t="e">
            <v>#REF!</v>
          </cell>
          <cell r="M89" t="e">
            <v>#REF!</v>
          </cell>
          <cell r="N89" t="e">
            <v>#REF!</v>
          </cell>
        </row>
        <row r="90">
          <cell r="G90" t="str">
            <v>______</v>
          </cell>
          <cell r="H90" t="str">
            <v>______</v>
          </cell>
          <cell r="I90" t="str">
            <v>______</v>
          </cell>
          <cell r="J90" t="str">
            <v>______</v>
          </cell>
          <cell r="L90" t="str">
            <v>______</v>
          </cell>
          <cell r="M90" t="str">
            <v>______</v>
          </cell>
          <cell r="N90" t="str">
            <v>______</v>
          </cell>
        </row>
        <row r="91">
          <cell r="G91" t="e">
            <v>#REF!</v>
          </cell>
          <cell r="H91" t="e">
            <v>#REF!</v>
          </cell>
          <cell r="I91" t="e">
            <v>#REF!</v>
          </cell>
          <cell r="J91" t="e">
            <v>#REF!</v>
          </cell>
          <cell r="L91" t="e">
            <v>#REF!</v>
          </cell>
          <cell r="M91" t="e">
            <v>#REF!</v>
          </cell>
          <cell r="N91" t="e">
            <v>#REF!</v>
          </cell>
        </row>
        <row r="93">
          <cell r="G93" t="e">
            <v>#REF!</v>
          </cell>
          <cell r="H93" t="e">
            <v>#REF!</v>
          </cell>
          <cell r="I93" t="e">
            <v>#REF!</v>
          </cell>
          <cell r="J93" t="e">
            <v>#REF!</v>
          </cell>
          <cell r="L93" t="e">
            <v>#REF!</v>
          </cell>
          <cell r="M93" t="e">
            <v>#REF!</v>
          </cell>
          <cell r="N93" t="e">
            <v>#REF!</v>
          </cell>
        </row>
        <row r="94">
          <cell r="G94" t="e">
            <v>#REF!</v>
          </cell>
          <cell r="H94" t="e">
            <v>#REF!</v>
          </cell>
          <cell r="I94" t="e">
            <v>#REF!</v>
          </cell>
          <cell r="J94" t="e">
            <v>#REF!</v>
          </cell>
          <cell r="L94" t="e">
            <v>#REF!</v>
          </cell>
          <cell r="M94" t="e">
            <v>#REF!</v>
          </cell>
          <cell r="N94" t="e">
            <v>#REF!</v>
          </cell>
        </row>
        <row r="95">
          <cell r="G95" t="e">
            <v>#REF!</v>
          </cell>
          <cell r="H95" t="e">
            <v>#REF!</v>
          </cell>
          <cell r="I95" t="e">
            <v>#REF!</v>
          </cell>
          <cell r="J95" t="e">
            <v>#REF!</v>
          </cell>
          <cell r="L95" t="e">
            <v>#REF!</v>
          </cell>
          <cell r="M95" t="e">
            <v>#REF!</v>
          </cell>
          <cell r="N95" t="e">
            <v>#REF!</v>
          </cell>
        </row>
        <row r="96">
          <cell r="G96" t="e">
            <v>#REF!</v>
          </cell>
          <cell r="H96" t="e">
            <v>#REF!</v>
          </cell>
          <cell r="I96" t="e">
            <v>#REF!</v>
          </cell>
          <cell r="J96" t="e">
            <v>#REF!</v>
          </cell>
          <cell r="L96" t="e">
            <v>#REF!</v>
          </cell>
          <cell r="M96" t="e">
            <v>#REF!</v>
          </cell>
          <cell r="N96" t="e">
            <v>#REF!</v>
          </cell>
        </row>
        <row r="97">
          <cell r="G97" t="e">
            <v>#REF!</v>
          </cell>
          <cell r="H97" t="e">
            <v>#REF!</v>
          </cell>
          <cell r="I97" t="e">
            <v>#REF!</v>
          </cell>
          <cell r="J97" t="e">
            <v>#REF!</v>
          </cell>
          <cell r="L97" t="e">
            <v>#REF!</v>
          </cell>
          <cell r="M97" t="e">
            <v>#REF!</v>
          </cell>
          <cell r="N97" t="e">
            <v>#REF!</v>
          </cell>
        </row>
        <row r="98"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L98" t="e">
            <v>#REF!</v>
          </cell>
          <cell r="M98" t="e">
            <v>#REF!</v>
          </cell>
          <cell r="N98" t="e">
            <v>#REF!</v>
          </cell>
        </row>
        <row r="99">
          <cell r="G99" t="str">
            <v>______</v>
          </cell>
          <cell r="H99" t="str">
            <v>______</v>
          </cell>
          <cell r="I99" t="str">
            <v>______</v>
          </cell>
          <cell r="J99" t="str">
            <v>______</v>
          </cell>
          <cell r="L99" t="str">
            <v>______</v>
          </cell>
          <cell r="M99" t="str">
            <v>______</v>
          </cell>
          <cell r="N99" t="str">
            <v>______</v>
          </cell>
        </row>
        <row r="100"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L100" t="e">
            <v>#REF!</v>
          </cell>
          <cell r="M100" t="e">
            <v>#REF!</v>
          </cell>
          <cell r="N100" t="e">
            <v>#REF!</v>
          </cell>
        </row>
        <row r="109">
          <cell r="G109" t="e">
            <v>#REF!</v>
          </cell>
          <cell r="H109" t="e">
            <v>#REF!</v>
          </cell>
          <cell r="I109" t="e">
            <v>#REF!</v>
          </cell>
          <cell r="J109" t="e">
            <v>#REF!</v>
          </cell>
          <cell r="L109" t="e">
            <v>#REF!</v>
          </cell>
          <cell r="M109" t="e">
            <v>#REF!</v>
          </cell>
          <cell r="N109" t="e">
            <v>#REF!</v>
          </cell>
        </row>
        <row r="111">
          <cell r="G111" t="e">
            <v>#REF!</v>
          </cell>
          <cell r="H111" t="e">
            <v>#REF!</v>
          </cell>
          <cell r="I111" t="e">
            <v>#REF!</v>
          </cell>
          <cell r="J111" t="e">
            <v>#REF!</v>
          </cell>
          <cell r="L111" t="e">
            <v>#REF!</v>
          </cell>
          <cell r="M111" t="e">
            <v>#REF!</v>
          </cell>
          <cell r="N111" t="e">
            <v>#REF!</v>
          </cell>
        </row>
        <row r="112">
          <cell r="G112" t="e">
            <v>#REF!</v>
          </cell>
          <cell r="H112" t="e">
            <v>#REF!</v>
          </cell>
          <cell r="I112" t="e">
            <v>#REF!</v>
          </cell>
          <cell r="J112" t="e">
            <v>#REF!</v>
          </cell>
          <cell r="L112" t="e">
            <v>#REF!</v>
          </cell>
          <cell r="M112" t="e">
            <v>#REF!</v>
          </cell>
          <cell r="N112" t="e">
            <v>#REF!</v>
          </cell>
        </row>
        <row r="113">
          <cell r="G113" t="e">
            <v>#REF!</v>
          </cell>
          <cell r="H113" t="e">
            <v>#REF!</v>
          </cell>
          <cell r="I113" t="e">
            <v>#REF!</v>
          </cell>
          <cell r="J113" t="e">
            <v>#REF!</v>
          </cell>
          <cell r="L113" t="e">
            <v>#REF!</v>
          </cell>
          <cell r="M113" t="e">
            <v>#REF!</v>
          </cell>
          <cell r="N113" t="e">
            <v>#REF!</v>
          </cell>
        </row>
        <row r="114">
          <cell r="G114" t="e">
            <v>#REF!</v>
          </cell>
          <cell r="H114" t="e">
            <v>#REF!</v>
          </cell>
          <cell r="I114" t="e">
            <v>#REF!</v>
          </cell>
          <cell r="J114" t="e">
            <v>#REF!</v>
          </cell>
          <cell r="L114" t="e">
            <v>#REF!</v>
          </cell>
          <cell r="M114" t="e">
            <v>#REF!</v>
          </cell>
          <cell r="N114" t="e">
            <v>#REF!</v>
          </cell>
        </row>
        <row r="115"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L115" t="e">
            <v>#REF!</v>
          </cell>
          <cell r="M115" t="e">
            <v>#REF!</v>
          </cell>
          <cell r="N115" t="e">
            <v>#REF!</v>
          </cell>
        </row>
        <row r="116">
          <cell r="G116" t="e">
            <v>#REF!</v>
          </cell>
          <cell r="H116" t="e">
            <v>#REF!</v>
          </cell>
          <cell r="I116" t="e">
            <v>#REF!</v>
          </cell>
          <cell r="J116" t="e">
            <v>#REF!</v>
          </cell>
          <cell r="L116" t="e">
            <v>#REF!</v>
          </cell>
          <cell r="M116" t="e">
            <v>#REF!</v>
          </cell>
          <cell r="N116" t="e">
            <v>#REF!</v>
          </cell>
        </row>
        <row r="117">
          <cell r="G117" t="e">
            <v>#REF!</v>
          </cell>
          <cell r="H117" t="e">
            <v>#REF!</v>
          </cell>
          <cell r="I117" t="e">
            <v>#REF!</v>
          </cell>
          <cell r="J117" t="e">
            <v>#REF!</v>
          </cell>
          <cell r="L117" t="e">
            <v>#REF!</v>
          </cell>
          <cell r="M117" t="e">
            <v>#REF!</v>
          </cell>
          <cell r="N117" t="e">
            <v>#REF!</v>
          </cell>
        </row>
        <row r="118"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</row>
        <row r="119"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</row>
        <row r="120">
          <cell r="G120" t="e">
            <v>#REF!</v>
          </cell>
          <cell r="H120" t="e">
            <v>#REF!</v>
          </cell>
          <cell r="I120" t="e">
            <v>#REF!</v>
          </cell>
          <cell r="J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</row>
        <row r="121">
          <cell r="G121" t="e">
            <v>#REF!</v>
          </cell>
          <cell r="H121" t="e">
            <v>#REF!</v>
          </cell>
          <cell r="I121" t="e">
            <v>#REF!</v>
          </cell>
          <cell r="J121" t="e">
            <v>#REF!</v>
          </cell>
          <cell r="L121" t="e">
            <v>#REF!</v>
          </cell>
          <cell r="M121" t="e">
            <v>#REF!</v>
          </cell>
          <cell r="N121" t="e">
            <v>#REF!</v>
          </cell>
        </row>
        <row r="122">
          <cell r="G122" t="str">
            <v>______</v>
          </cell>
          <cell r="H122" t="str">
            <v>______</v>
          </cell>
          <cell r="I122" t="str">
            <v>______</v>
          </cell>
          <cell r="J122" t="str">
            <v>______</v>
          </cell>
          <cell r="L122" t="str">
            <v>______</v>
          </cell>
          <cell r="M122" t="str">
            <v>______</v>
          </cell>
          <cell r="N122" t="str">
            <v>______</v>
          </cell>
        </row>
        <row r="123"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</row>
        <row r="126">
          <cell r="H126" t="e">
            <v>#REF!</v>
          </cell>
          <cell r="I126" t="e">
            <v>#REF!</v>
          </cell>
          <cell r="J126" t="e">
            <v>#REF!</v>
          </cell>
          <cell r="M126">
            <v>0</v>
          </cell>
          <cell r="N126">
            <v>0</v>
          </cell>
        </row>
        <row r="127">
          <cell r="H127" t="e">
            <v>#REF!</v>
          </cell>
          <cell r="I127" t="e">
            <v>#REF!</v>
          </cell>
          <cell r="J127" t="e">
            <v>#REF!</v>
          </cell>
          <cell r="M127">
            <v>0</v>
          </cell>
          <cell r="N127">
            <v>0</v>
          </cell>
        </row>
        <row r="128">
          <cell r="H128" t="e">
            <v>#REF!</v>
          </cell>
          <cell r="I128" t="e">
            <v>#REF!</v>
          </cell>
          <cell r="J128" t="e">
            <v>#REF!</v>
          </cell>
          <cell r="M128">
            <v>0</v>
          </cell>
          <cell r="N128">
            <v>0</v>
          </cell>
        </row>
        <row r="129">
          <cell r="H129" t="e">
            <v>#REF!</v>
          </cell>
          <cell r="I129" t="e">
            <v>#REF!</v>
          </cell>
          <cell r="J129" t="e">
            <v>#REF!</v>
          </cell>
          <cell r="M129">
            <v>0</v>
          </cell>
          <cell r="N129">
            <v>0</v>
          </cell>
        </row>
        <row r="130">
          <cell r="H130" t="e">
            <v>#REF!</v>
          </cell>
          <cell r="I130" t="e">
            <v>#REF!</v>
          </cell>
          <cell r="J130" t="e">
            <v>#REF!</v>
          </cell>
          <cell r="M130">
            <v>0</v>
          </cell>
          <cell r="N130">
            <v>0</v>
          </cell>
        </row>
        <row r="131">
          <cell r="H131" t="e">
            <v>#REF!</v>
          </cell>
          <cell r="I131" t="e">
            <v>#REF!</v>
          </cell>
          <cell r="J131" t="e">
            <v>#REF!</v>
          </cell>
          <cell r="M131">
            <v>0</v>
          </cell>
          <cell r="N131">
            <v>0</v>
          </cell>
        </row>
        <row r="132">
          <cell r="H132" t="e">
            <v>#REF!</v>
          </cell>
          <cell r="I132" t="e">
            <v>#REF!</v>
          </cell>
          <cell r="J132" t="e">
            <v>#REF!</v>
          </cell>
          <cell r="M132">
            <v>0</v>
          </cell>
          <cell r="N132">
            <v>0</v>
          </cell>
        </row>
        <row r="133">
          <cell r="H133" t="e">
            <v>#REF!</v>
          </cell>
          <cell r="I133" t="e">
            <v>#REF!</v>
          </cell>
          <cell r="J133" t="e">
            <v>#REF!</v>
          </cell>
          <cell r="M133">
            <v>0</v>
          </cell>
          <cell r="N133">
            <v>0</v>
          </cell>
        </row>
        <row r="134">
          <cell r="H134" t="e">
            <v>#REF!</v>
          </cell>
          <cell r="I134" t="e">
            <v>#REF!</v>
          </cell>
          <cell r="J134" t="e">
            <v>#REF!</v>
          </cell>
          <cell r="M134">
            <v>0</v>
          </cell>
          <cell r="N134">
            <v>0</v>
          </cell>
        </row>
        <row r="135">
          <cell r="H135" t="e">
            <v>#REF!</v>
          </cell>
          <cell r="I135" t="e">
            <v>#REF!</v>
          </cell>
          <cell r="J135" t="e">
            <v>#REF!</v>
          </cell>
          <cell r="M135">
            <v>0</v>
          </cell>
          <cell r="N135">
            <v>0</v>
          </cell>
        </row>
        <row r="136">
          <cell r="H136" t="e">
            <v>#REF!</v>
          </cell>
          <cell r="I136" t="e">
            <v>#REF!</v>
          </cell>
          <cell r="J136" t="e">
            <v>#REF!</v>
          </cell>
          <cell r="M136">
            <v>0</v>
          </cell>
          <cell r="N136">
            <v>0</v>
          </cell>
        </row>
        <row r="137">
          <cell r="H137" t="e">
            <v>#REF!</v>
          </cell>
          <cell r="I137" t="e">
            <v>#REF!</v>
          </cell>
          <cell r="J137" t="e">
            <v>#REF!</v>
          </cell>
          <cell r="M137">
            <v>0</v>
          </cell>
          <cell r="N137">
            <v>0</v>
          </cell>
        </row>
        <row r="138">
          <cell r="H138" t="e">
            <v>#REF!</v>
          </cell>
          <cell r="I138" t="e">
            <v>#REF!</v>
          </cell>
          <cell r="J138" t="e">
            <v>#REF!</v>
          </cell>
          <cell r="M138">
            <v>0</v>
          </cell>
          <cell r="N138">
            <v>0</v>
          </cell>
        </row>
        <row r="139">
          <cell r="H139" t="e">
            <v>#REF!</v>
          </cell>
          <cell r="I139" t="e">
            <v>#REF!</v>
          </cell>
          <cell r="J139" t="e">
            <v>#REF!</v>
          </cell>
          <cell r="M139">
            <v>0</v>
          </cell>
          <cell r="N139">
            <v>0</v>
          </cell>
        </row>
        <row r="140">
          <cell r="H140" t="str">
            <v>______</v>
          </cell>
          <cell r="I140" t="str">
            <v>______</v>
          </cell>
          <cell r="J140" t="str">
            <v>______</v>
          </cell>
          <cell r="M140" t="str">
            <v>______</v>
          </cell>
          <cell r="N140" t="str">
            <v>______</v>
          </cell>
        </row>
        <row r="141">
          <cell r="H141" t="e">
            <v>#REF!</v>
          </cell>
          <cell r="I141" t="e">
            <v>#REF!</v>
          </cell>
          <cell r="J141" t="e">
            <v>#REF!</v>
          </cell>
          <cell r="M141">
            <v>0</v>
          </cell>
          <cell r="N141">
            <v>0</v>
          </cell>
        </row>
        <row r="142">
          <cell r="H142" t="str">
            <v>______</v>
          </cell>
          <cell r="I142" t="str">
            <v>______</v>
          </cell>
          <cell r="J142" t="str">
            <v>______</v>
          </cell>
          <cell r="M142" t="str">
            <v>______</v>
          </cell>
          <cell r="N142" t="str">
            <v>______</v>
          </cell>
        </row>
        <row r="143">
          <cell r="H143" t="e">
            <v>#REF!</v>
          </cell>
          <cell r="I143" t="e">
            <v>#REF!</v>
          </cell>
          <cell r="J143" t="e">
            <v>#REF!</v>
          </cell>
          <cell r="M143" t="e">
            <v>#REF!</v>
          </cell>
          <cell r="N143" t="e">
            <v>#REF!</v>
          </cell>
        </row>
        <row r="145">
          <cell r="H145" t="e">
            <v>#REF!</v>
          </cell>
          <cell r="I145" t="e">
            <v>#REF!</v>
          </cell>
          <cell r="J145" t="e">
            <v>#REF!</v>
          </cell>
          <cell r="M145" t="e">
            <v>#REF!</v>
          </cell>
          <cell r="N145" t="e">
            <v>#REF!</v>
          </cell>
        </row>
        <row r="146">
          <cell r="H146">
            <v>0</v>
          </cell>
          <cell r="I146">
            <v>0</v>
          </cell>
          <cell r="J146">
            <v>0</v>
          </cell>
          <cell r="M146">
            <v>0</v>
          </cell>
          <cell r="N146">
            <v>0</v>
          </cell>
        </row>
        <row r="147">
          <cell r="H147" t="str">
            <v>______</v>
          </cell>
          <cell r="I147" t="str">
            <v>______</v>
          </cell>
          <cell r="J147" t="str">
            <v>______</v>
          </cell>
          <cell r="M147" t="str">
            <v>______</v>
          </cell>
          <cell r="N147" t="str">
            <v>______</v>
          </cell>
        </row>
        <row r="148">
          <cell r="H148" t="e">
            <v>#REF!</v>
          </cell>
          <cell r="I148" t="e">
            <v>#REF!</v>
          </cell>
          <cell r="J148" t="e">
            <v>#REF!</v>
          </cell>
          <cell r="M148" t="e">
            <v>#REF!</v>
          </cell>
          <cell r="N148" t="e">
            <v>#REF!</v>
          </cell>
        </row>
        <row r="151">
          <cell r="H151" t="e">
            <v>#REF!</v>
          </cell>
          <cell r="I151" t="e">
            <v>#REF!</v>
          </cell>
          <cell r="J151" t="e">
            <v>#REF!</v>
          </cell>
          <cell r="M151" t="e">
            <v>#REF!</v>
          </cell>
          <cell r="N151" t="e">
            <v>#REF!</v>
          </cell>
        </row>
        <row r="152">
          <cell r="H152" t="e">
            <v>#REF!</v>
          </cell>
          <cell r="I152" t="e">
            <v>#REF!</v>
          </cell>
          <cell r="J152" t="e">
            <v>#REF!</v>
          </cell>
          <cell r="M152" t="e">
            <v>#REF!</v>
          </cell>
          <cell r="N152" t="e">
            <v>#REF!</v>
          </cell>
        </row>
        <row r="154">
          <cell r="H154" t="e">
            <v>#REF!</v>
          </cell>
          <cell r="I154" t="e">
            <v>#REF!</v>
          </cell>
          <cell r="J154" t="e">
            <v>#REF!</v>
          </cell>
          <cell r="M154">
            <v>0</v>
          </cell>
          <cell r="N154">
            <v>0</v>
          </cell>
        </row>
        <row r="155">
          <cell r="H155" t="e">
            <v>#REF!</v>
          </cell>
          <cell r="I155" t="e">
            <v>#REF!</v>
          </cell>
          <cell r="J155" t="e">
            <v>#REF!</v>
          </cell>
          <cell r="M155">
            <v>0</v>
          </cell>
          <cell r="N155">
            <v>0</v>
          </cell>
        </row>
        <row r="156">
          <cell r="H156" t="e">
            <v>#REF!</v>
          </cell>
          <cell r="I156" t="e">
            <v>#REF!</v>
          </cell>
          <cell r="J156" t="e">
            <v>#REF!</v>
          </cell>
          <cell r="M156">
            <v>0</v>
          </cell>
          <cell r="N156">
            <v>0</v>
          </cell>
        </row>
        <row r="157">
          <cell r="H157" t="e">
            <v>#REF!</v>
          </cell>
          <cell r="I157" t="e">
            <v>#REF!</v>
          </cell>
          <cell r="J157" t="e">
            <v>#REF!</v>
          </cell>
          <cell r="M157">
            <v>0</v>
          </cell>
          <cell r="N157">
            <v>0</v>
          </cell>
        </row>
        <row r="158">
          <cell r="H158" t="e">
            <v>#REF!</v>
          </cell>
          <cell r="I158" t="e">
            <v>#REF!</v>
          </cell>
          <cell r="J158" t="e">
            <v>#REF!</v>
          </cell>
          <cell r="M158" t="e">
            <v>#REF!</v>
          </cell>
          <cell r="N158" t="e">
            <v>#REF!</v>
          </cell>
        </row>
        <row r="159">
          <cell r="H159" t="e">
            <v>#REF!</v>
          </cell>
          <cell r="I159" t="e">
            <v>#REF!</v>
          </cell>
          <cell r="J159" t="e">
            <v>#REF!</v>
          </cell>
          <cell r="M159" t="e">
            <v>#REF!</v>
          </cell>
          <cell r="N159" t="e">
            <v>#REF!</v>
          </cell>
        </row>
        <row r="160">
          <cell r="H160" t="e">
            <v>#REF!</v>
          </cell>
          <cell r="I160" t="e">
            <v>#REF!</v>
          </cell>
          <cell r="J160" t="e">
            <v>#REF!</v>
          </cell>
          <cell r="M160">
            <v>0</v>
          </cell>
          <cell r="N160">
            <v>0</v>
          </cell>
        </row>
        <row r="161">
          <cell r="H161" t="e">
            <v>#REF!</v>
          </cell>
          <cell r="I161" t="e">
            <v>#REF!</v>
          </cell>
          <cell r="J161" t="e">
            <v>#REF!</v>
          </cell>
          <cell r="M161">
            <v>0</v>
          </cell>
          <cell r="N161">
            <v>0</v>
          </cell>
        </row>
        <row r="162">
          <cell r="H162" t="e">
            <v>#REF!</v>
          </cell>
          <cell r="I162" t="e">
            <v>#REF!</v>
          </cell>
          <cell r="J162" t="e">
            <v>#REF!</v>
          </cell>
          <cell r="M162">
            <v>0</v>
          </cell>
          <cell r="N162">
            <v>0</v>
          </cell>
        </row>
        <row r="163">
          <cell r="H163" t="e">
            <v>#REF!</v>
          </cell>
          <cell r="I163" t="e">
            <v>#REF!</v>
          </cell>
          <cell r="J163" t="e">
            <v>#REF!</v>
          </cell>
          <cell r="M163">
            <v>0</v>
          </cell>
          <cell r="N163">
            <v>0</v>
          </cell>
        </row>
        <row r="164">
          <cell r="H164" t="e">
            <v>#REF!</v>
          </cell>
          <cell r="I164" t="e">
            <v>#REF!</v>
          </cell>
          <cell r="J164" t="e">
            <v>#REF!</v>
          </cell>
          <cell r="M164" t="e">
            <v>#REF!</v>
          </cell>
          <cell r="N164" t="e">
            <v>#REF!</v>
          </cell>
        </row>
        <row r="165">
          <cell r="H165" t="e">
            <v>#REF!</v>
          </cell>
          <cell r="I165" t="e">
            <v>#REF!</v>
          </cell>
          <cell r="J165" t="e">
            <v>#REF!</v>
          </cell>
          <cell r="M165" t="e">
            <v>#REF!</v>
          </cell>
          <cell r="N165" t="e">
            <v>#REF!</v>
          </cell>
        </row>
        <row r="166">
          <cell r="H166" t="e">
            <v>#REF!</v>
          </cell>
          <cell r="I166" t="e">
            <v>#REF!</v>
          </cell>
          <cell r="J166" t="e">
            <v>#REF!</v>
          </cell>
          <cell r="M166">
            <v>0</v>
          </cell>
          <cell r="N166">
            <v>0</v>
          </cell>
        </row>
        <row r="167">
          <cell r="H167" t="e">
            <v>#REF!</v>
          </cell>
          <cell r="I167" t="e">
            <v>#REF!</v>
          </cell>
          <cell r="J167" t="e">
            <v>#REF!</v>
          </cell>
          <cell r="M167">
            <v>0</v>
          </cell>
          <cell r="N167">
            <v>0</v>
          </cell>
        </row>
        <row r="169">
          <cell r="H169" t="e">
            <v>#REF!</v>
          </cell>
          <cell r="I169" t="e">
            <v>#REF!</v>
          </cell>
          <cell r="J169" t="e">
            <v>#REF!</v>
          </cell>
          <cell r="M169" t="e">
            <v>#REF!</v>
          </cell>
          <cell r="N169" t="e">
            <v>#REF!</v>
          </cell>
        </row>
        <row r="175">
          <cell r="H175" t="e">
            <v>#REF!</v>
          </cell>
          <cell r="I175" t="e">
            <v>#REF!</v>
          </cell>
          <cell r="J175" t="e">
            <v>#REF!</v>
          </cell>
          <cell r="M175" t="e">
            <v>#REF!</v>
          </cell>
          <cell r="N175" t="e">
            <v>#REF!</v>
          </cell>
        </row>
        <row r="193">
          <cell r="H193" t="str">
            <v>______</v>
          </cell>
          <cell r="I193" t="str">
            <v>______</v>
          </cell>
          <cell r="J193" t="str">
            <v>______</v>
          </cell>
          <cell r="M193" t="str">
            <v>______</v>
          </cell>
          <cell r="N193" t="str">
            <v>______</v>
          </cell>
        </row>
        <row r="194">
          <cell r="H194" t="e">
            <v>#REF!</v>
          </cell>
          <cell r="I194" t="e">
            <v>#REF!</v>
          </cell>
          <cell r="J194" t="e">
            <v>#REF!</v>
          </cell>
          <cell r="M194" t="e">
            <v>#REF!</v>
          </cell>
          <cell r="N194" t="e">
            <v>#REF!</v>
          </cell>
        </row>
        <row r="196">
          <cell r="H196" t="e">
            <v>#REF!</v>
          </cell>
          <cell r="I196" t="e">
            <v>#REF!</v>
          </cell>
          <cell r="J196" t="e">
            <v>#REF!</v>
          </cell>
          <cell r="M196" t="e">
            <v>#REF!</v>
          </cell>
          <cell r="N196" t="e">
            <v>#REF!</v>
          </cell>
        </row>
        <row r="197">
          <cell r="H197" t="e">
            <v>#REF!</v>
          </cell>
          <cell r="I197" t="e">
            <v>#REF!</v>
          </cell>
          <cell r="J197" t="e">
            <v>#REF!</v>
          </cell>
          <cell r="M197" t="e">
            <v>#REF!</v>
          </cell>
          <cell r="N197" t="e">
            <v>#REF!</v>
          </cell>
        </row>
        <row r="198">
          <cell r="H198" t="str">
            <v>______</v>
          </cell>
          <cell r="I198" t="str">
            <v>______</v>
          </cell>
          <cell r="J198" t="str">
            <v>______</v>
          </cell>
          <cell r="M198" t="str">
            <v>______</v>
          </cell>
          <cell r="N198" t="str">
            <v>______</v>
          </cell>
        </row>
        <row r="226">
          <cell r="H226" t="e">
            <v>#REF!</v>
          </cell>
          <cell r="I226" t="e">
            <v>#REF!</v>
          </cell>
          <cell r="J226" t="e">
            <v>#REF!</v>
          </cell>
          <cell r="M226" t="e">
            <v>#REF!</v>
          </cell>
          <cell r="N226" t="e">
            <v>#REF!</v>
          </cell>
        </row>
        <row r="228">
          <cell r="H228" t="e">
            <v>#REF!</v>
          </cell>
          <cell r="I228" t="e">
            <v>#REF!</v>
          </cell>
          <cell r="J228" t="e">
            <v>#REF!</v>
          </cell>
          <cell r="M228">
            <v>0</v>
          </cell>
          <cell r="N228">
            <v>0</v>
          </cell>
        </row>
        <row r="237">
          <cell r="G237" t="e">
            <v>#REF!</v>
          </cell>
          <cell r="H237" t="e">
            <v>#REF!</v>
          </cell>
          <cell r="I237" t="e">
            <v>#REF!</v>
          </cell>
          <cell r="J237" t="e">
            <v>#REF!</v>
          </cell>
          <cell r="L237">
            <v>0</v>
          </cell>
          <cell r="M237">
            <v>0</v>
          </cell>
          <cell r="N237">
            <v>0</v>
          </cell>
        </row>
        <row r="238">
          <cell r="G238" t="e">
            <v>#REF!</v>
          </cell>
          <cell r="H238" t="e">
            <v>#REF!</v>
          </cell>
          <cell r="I238" t="e">
            <v>#REF!</v>
          </cell>
          <cell r="J238" t="e">
            <v>#REF!</v>
          </cell>
          <cell r="L238">
            <v>0</v>
          </cell>
          <cell r="M238">
            <v>0</v>
          </cell>
          <cell r="N238">
            <v>0</v>
          </cell>
        </row>
        <row r="239">
          <cell r="G239" t="e">
            <v>#REF!</v>
          </cell>
          <cell r="H239" t="e">
            <v>#REF!</v>
          </cell>
          <cell r="I239" t="e">
            <v>#REF!</v>
          </cell>
          <cell r="J239" t="e">
            <v>#REF!</v>
          </cell>
          <cell r="L239">
            <v>0</v>
          </cell>
          <cell r="M239">
            <v>0</v>
          </cell>
          <cell r="N239">
            <v>0</v>
          </cell>
        </row>
        <row r="240">
          <cell r="G240" t="e">
            <v>#REF!</v>
          </cell>
          <cell r="H240" t="e">
            <v>#REF!</v>
          </cell>
          <cell r="I240" t="e">
            <v>#REF!</v>
          </cell>
          <cell r="J240" t="e">
            <v>#REF!</v>
          </cell>
          <cell r="L240">
            <v>0</v>
          </cell>
          <cell r="M240">
            <v>0</v>
          </cell>
          <cell r="N240">
            <v>0</v>
          </cell>
        </row>
        <row r="241">
          <cell r="G241" t="e">
            <v>#REF!</v>
          </cell>
          <cell r="H241" t="e">
            <v>#REF!</v>
          </cell>
          <cell r="I241" t="e">
            <v>#REF!</v>
          </cell>
          <cell r="J241" t="e">
            <v>#REF!</v>
          </cell>
          <cell r="L241">
            <v>0</v>
          </cell>
          <cell r="M241">
            <v>0</v>
          </cell>
          <cell r="N241">
            <v>0</v>
          </cell>
        </row>
        <row r="242">
          <cell r="G242" t="e">
            <v>#REF!</v>
          </cell>
          <cell r="H242" t="e">
            <v>#REF!</v>
          </cell>
          <cell r="I242" t="e">
            <v>#REF!</v>
          </cell>
          <cell r="J242" t="e">
            <v>#REF!</v>
          </cell>
          <cell r="L242">
            <v>0</v>
          </cell>
          <cell r="M242">
            <v>0</v>
          </cell>
          <cell r="N242">
            <v>0</v>
          </cell>
        </row>
        <row r="243">
          <cell r="G243" t="e">
            <v>#REF!</v>
          </cell>
          <cell r="H243" t="e">
            <v>#REF!</v>
          </cell>
          <cell r="I243" t="e">
            <v>#REF!</v>
          </cell>
          <cell r="J243" t="e">
            <v>#REF!</v>
          </cell>
          <cell r="L243">
            <v>0</v>
          </cell>
          <cell r="M243">
            <v>0</v>
          </cell>
          <cell r="N243">
            <v>0</v>
          </cell>
        </row>
        <row r="244">
          <cell r="G244" t="str">
            <v>______</v>
          </cell>
          <cell r="H244" t="str">
            <v>______</v>
          </cell>
          <cell r="I244" t="str">
            <v>______</v>
          </cell>
          <cell r="J244" t="str">
            <v>______</v>
          </cell>
          <cell r="L244" t="str">
            <v>______</v>
          </cell>
          <cell r="M244" t="str">
            <v>______</v>
          </cell>
          <cell r="N244" t="str">
            <v>______</v>
          </cell>
        </row>
        <row r="245">
          <cell r="G245" t="e">
            <v>#REF!</v>
          </cell>
          <cell r="H245" t="e">
            <v>#REF!</v>
          </cell>
          <cell r="I245" t="e">
            <v>#REF!</v>
          </cell>
          <cell r="J245" t="e">
            <v>#REF!</v>
          </cell>
          <cell r="L245">
            <v>0</v>
          </cell>
          <cell r="M245">
            <v>0</v>
          </cell>
          <cell r="N245">
            <v>0</v>
          </cell>
        </row>
        <row r="247">
          <cell r="G247" t="e">
            <v>#REF!</v>
          </cell>
          <cell r="H247" t="e">
            <v>#REF!</v>
          </cell>
          <cell r="I247" t="e">
            <v>#REF!</v>
          </cell>
          <cell r="J247" t="e">
            <v>#REF!</v>
          </cell>
          <cell r="L247">
            <v>0</v>
          </cell>
          <cell r="M247">
            <v>0</v>
          </cell>
          <cell r="N247">
            <v>0</v>
          </cell>
        </row>
        <row r="249">
          <cell r="G249" t="e">
            <v>#REF!</v>
          </cell>
          <cell r="H249" t="e">
            <v>#REF!</v>
          </cell>
          <cell r="I249" t="e">
            <v>#REF!</v>
          </cell>
          <cell r="J249" t="e">
            <v>#REF!</v>
          </cell>
          <cell r="L249">
            <v>0</v>
          </cell>
          <cell r="M249">
            <v>0</v>
          </cell>
          <cell r="N249">
            <v>0</v>
          </cell>
        </row>
        <row r="250">
          <cell r="G250" t="e">
            <v>#REF!</v>
          </cell>
          <cell r="H250" t="e">
            <v>#REF!</v>
          </cell>
          <cell r="I250" t="e">
            <v>#REF!</v>
          </cell>
          <cell r="J250" t="e">
            <v>#REF!</v>
          </cell>
          <cell r="L250">
            <v>0</v>
          </cell>
          <cell r="M250">
            <v>0</v>
          </cell>
          <cell r="N250">
            <v>0</v>
          </cell>
        </row>
        <row r="251">
          <cell r="G251" t="e">
            <v>#REF!</v>
          </cell>
          <cell r="H251" t="e">
            <v>#REF!</v>
          </cell>
          <cell r="I251" t="e">
            <v>#REF!</v>
          </cell>
          <cell r="J251" t="e">
            <v>#REF!</v>
          </cell>
          <cell r="L251">
            <v>0</v>
          </cell>
          <cell r="M251">
            <v>0</v>
          </cell>
          <cell r="N251">
            <v>0</v>
          </cell>
        </row>
        <row r="252">
          <cell r="G252" t="e">
            <v>#REF!</v>
          </cell>
          <cell r="H252" t="e">
            <v>#REF!</v>
          </cell>
          <cell r="I252" t="e">
            <v>#REF!</v>
          </cell>
          <cell r="J252" t="e">
            <v>#REF!</v>
          </cell>
          <cell r="L252">
            <v>0</v>
          </cell>
          <cell r="M252">
            <v>0</v>
          </cell>
          <cell r="N252">
            <v>0</v>
          </cell>
        </row>
        <row r="253">
          <cell r="G253" t="e">
            <v>#REF!</v>
          </cell>
          <cell r="H253" t="e">
            <v>#REF!</v>
          </cell>
          <cell r="I253" t="e">
            <v>#REF!</v>
          </cell>
          <cell r="J253" t="e">
            <v>#REF!</v>
          </cell>
          <cell r="L253">
            <v>0</v>
          </cell>
          <cell r="M253">
            <v>0</v>
          </cell>
          <cell r="N253">
            <v>0</v>
          </cell>
        </row>
        <row r="254">
          <cell r="G254" t="e">
            <v>#REF!</v>
          </cell>
          <cell r="H254" t="e">
            <v>#REF!</v>
          </cell>
          <cell r="I254" t="e">
            <v>#REF!</v>
          </cell>
          <cell r="J254" t="e">
            <v>#REF!</v>
          </cell>
          <cell r="L254">
            <v>0</v>
          </cell>
          <cell r="M254">
            <v>0</v>
          </cell>
          <cell r="N254">
            <v>0</v>
          </cell>
        </row>
        <row r="255">
          <cell r="G255" t="e">
            <v>#REF!</v>
          </cell>
          <cell r="H255" t="e">
            <v>#REF!</v>
          </cell>
          <cell r="I255" t="e">
            <v>#REF!</v>
          </cell>
          <cell r="J255" t="e">
            <v>#REF!</v>
          </cell>
          <cell r="L255">
            <v>0</v>
          </cell>
          <cell r="M255">
            <v>0</v>
          </cell>
          <cell r="N255">
            <v>0</v>
          </cell>
        </row>
        <row r="257">
          <cell r="G257" t="e">
            <v>#REF!</v>
          </cell>
          <cell r="H257" t="e">
            <v>#REF!</v>
          </cell>
          <cell r="I257" t="e">
            <v>#REF!</v>
          </cell>
          <cell r="J257" t="e">
            <v>#REF!</v>
          </cell>
          <cell r="L257">
            <v>0</v>
          </cell>
          <cell r="M257">
            <v>0</v>
          </cell>
          <cell r="N257">
            <v>0</v>
          </cell>
        </row>
        <row r="260">
          <cell r="G260" t="e">
            <v>#REF!</v>
          </cell>
          <cell r="H260" t="e">
            <v>#REF!</v>
          </cell>
          <cell r="I260" t="e">
            <v>#REF!</v>
          </cell>
          <cell r="J260" t="e">
            <v>#REF!</v>
          </cell>
          <cell r="L260">
            <v>0</v>
          </cell>
          <cell r="M260">
            <v>0</v>
          </cell>
          <cell r="N260">
            <v>0</v>
          </cell>
        </row>
        <row r="261">
          <cell r="G261" t="e">
            <v>#REF!</v>
          </cell>
          <cell r="H261" t="e">
            <v>#REF!</v>
          </cell>
          <cell r="I261" t="e">
            <v>#REF!</v>
          </cell>
          <cell r="J261" t="e">
            <v>#REF!</v>
          </cell>
          <cell r="L261">
            <v>0</v>
          </cell>
          <cell r="M261">
            <v>0</v>
          </cell>
          <cell r="N261">
            <v>0</v>
          </cell>
        </row>
        <row r="262">
          <cell r="G262" t="e">
            <v>#REF!</v>
          </cell>
          <cell r="H262" t="e">
            <v>#REF!</v>
          </cell>
          <cell r="I262" t="e">
            <v>#REF!</v>
          </cell>
          <cell r="J262" t="e">
            <v>#REF!</v>
          </cell>
          <cell r="L262">
            <v>0</v>
          </cell>
          <cell r="M262">
            <v>0</v>
          </cell>
          <cell r="N262">
            <v>0</v>
          </cell>
        </row>
        <row r="263">
          <cell r="G263" t="e">
            <v>#REF!</v>
          </cell>
          <cell r="H263" t="e">
            <v>#REF!</v>
          </cell>
          <cell r="I263" t="e">
            <v>#REF!</v>
          </cell>
          <cell r="J263" t="e">
            <v>#REF!</v>
          </cell>
          <cell r="L263">
            <v>0</v>
          </cell>
          <cell r="M263">
            <v>0</v>
          </cell>
          <cell r="N263">
            <v>0</v>
          </cell>
        </row>
        <row r="264">
          <cell r="G264" t="e">
            <v>#REF!</v>
          </cell>
          <cell r="H264" t="e">
            <v>#REF!</v>
          </cell>
          <cell r="I264" t="e">
            <v>#REF!</v>
          </cell>
          <cell r="J264" t="e">
            <v>#REF!</v>
          </cell>
          <cell r="L264">
            <v>0</v>
          </cell>
          <cell r="M264">
            <v>0</v>
          </cell>
          <cell r="N264">
            <v>0</v>
          </cell>
        </row>
        <row r="265">
          <cell r="G265" t="e">
            <v>#REF!</v>
          </cell>
          <cell r="H265" t="e">
            <v>#REF!</v>
          </cell>
          <cell r="I265" t="e">
            <v>#REF!</v>
          </cell>
          <cell r="J265" t="e">
            <v>#REF!</v>
          </cell>
          <cell r="L265">
            <v>0</v>
          </cell>
          <cell r="M265">
            <v>0</v>
          </cell>
          <cell r="N265">
            <v>0</v>
          </cell>
        </row>
        <row r="266">
          <cell r="G266" t="e">
            <v>#REF!</v>
          </cell>
          <cell r="H266" t="e">
            <v>#REF!</v>
          </cell>
          <cell r="I266" t="e">
            <v>#REF!</v>
          </cell>
          <cell r="J266" t="e">
            <v>#REF!</v>
          </cell>
          <cell r="L266">
            <v>0</v>
          </cell>
          <cell r="M266">
            <v>0</v>
          </cell>
          <cell r="N266">
            <v>0</v>
          </cell>
        </row>
        <row r="267">
          <cell r="G267" t="e">
            <v>#REF!</v>
          </cell>
          <cell r="H267" t="e">
            <v>#REF!</v>
          </cell>
          <cell r="I267" t="e">
            <v>#REF!</v>
          </cell>
          <cell r="J267" t="e">
            <v>#REF!</v>
          </cell>
          <cell r="L267">
            <v>0</v>
          </cell>
          <cell r="M267">
            <v>0</v>
          </cell>
          <cell r="N267">
            <v>0</v>
          </cell>
        </row>
        <row r="268">
          <cell r="G268" t="str">
            <v>______</v>
          </cell>
          <cell r="H268" t="str">
            <v>______</v>
          </cell>
          <cell r="I268" t="str">
            <v>______</v>
          </cell>
          <cell r="J268" t="str">
            <v>______</v>
          </cell>
          <cell r="L268" t="str">
            <v>______</v>
          </cell>
          <cell r="M268" t="str">
            <v>______</v>
          </cell>
          <cell r="N268" t="str">
            <v>______</v>
          </cell>
        </row>
        <row r="269">
          <cell r="G269" t="e">
            <v>#REF!</v>
          </cell>
          <cell r="H269" t="e">
            <v>#REF!</v>
          </cell>
          <cell r="I269" t="e">
            <v>#REF!</v>
          </cell>
          <cell r="J269" t="e">
            <v>#REF!</v>
          </cell>
          <cell r="L269">
            <v>0</v>
          </cell>
          <cell r="M269">
            <v>0</v>
          </cell>
          <cell r="N269">
            <v>0</v>
          </cell>
        </row>
        <row r="271">
          <cell r="G271" t="e">
            <v>#REF!</v>
          </cell>
          <cell r="H271" t="e">
            <v>#REF!</v>
          </cell>
          <cell r="I271" t="e">
            <v>#REF!</v>
          </cell>
          <cell r="J271" t="e">
            <v>#REF!</v>
          </cell>
          <cell r="L271">
            <v>0</v>
          </cell>
          <cell r="M271">
            <v>0</v>
          </cell>
          <cell r="N271">
            <v>0</v>
          </cell>
        </row>
        <row r="272">
          <cell r="G272" t="e">
            <v>#REF!</v>
          </cell>
          <cell r="H272" t="e">
            <v>#REF!</v>
          </cell>
          <cell r="I272" t="e">
            <v>#REF!</v>
          </cell>
          <cell r="J272" t="e">
            <v>#REF!</v>
          </cell>
          <cell r="L272">
            <v>0</v>
          </cell>
          <cell r="M272">
            <v>0</v>
          </cell>
          <cell r="N272">
            <v>0</v>
          </cell>
        </row>
        <row r="273">
          <cell r="G273" t="e">
            <v>#REF!</v>
          </cell>
          <cell r="H273" t="e">
            <v>#REF!</v>
          </cell>
          <cell r="I273" t="e">
            <v>#REF!</v>
          </cell>
          <cell r="J273" t="e">
            <v>#REF!</v>
          </cell>
          <cell r="L273">
            <v>0</v>
          </cell>
          <cell r="M273">
            <v>0</v>
          </cell>
          <cell r="N273">
            <v>0</v>
          </cell>
        </row>
        <row r="274">
          <cell r="G274" t="e">
            <v>#REF!</v>
          </cell>
          <cell r="H274" t="e">
            <v>#REF!</v>
          </cell>
          <cell r="I274" t="e">
            <v>#REF!</v>
          </cell>
          <cell r="J274" t="e">
            <v>#REF!</v>
          </cell>
          <cell r="L274">
            <v>0</v>
          </cell>
          <cell r="M274">
            <v>0</v>
          </cell>
          <cell r="N274">
            <v>0</v>
          </cell>
        </row>
        <row r="275">
          <cell r="G275" t="e">
            <v>#REF!</v>
          </cell>
          <cell r="H275" t="e">
            <v>#REF!</v>
          </cell>
          <cell r="I275" t="e">
            <v>#REF!</v>
          </cell>
          <cell r="J275" t="e">
            <v>#REF!</v>
          </cell>
          <cell r="L275">
            <v>0</v>
          </cell>
          <cell r="M275">
            <v>0</v>
          </cell>
          <cell r="N275">
            <v>0</v>
          </cell>
        </row>
        <row r="278">
          <cell r="G278" t="e">
            <v>#REF!</v>
          </cell>
          <cell r="H278" t="e">
            <v>#REF!</v>
          </cell>
          <cell r="I278" t="e">
            <v>#REF!</v>
          </cell>
          <cell r="J278" t="e">
            <v>#REF!</v>
          </cell>
          <cell r="L278">
            <v>0</v>
          </cell>
          <cell r="M278">
            <v>0</v>
          </cell>
          <cell r="N278">
            <v>0</v>
          </cell>
        </row>
        <row r="279">
          <cell r="G279" t="e">
            <v>#REF!</v>
          </cell>
          <cell r="H279" t="e">
            <v>#REF!</v>
          </cell>
          <cell r="I279" t="e">
            <v>#REF!</v>
          </cell>
          <cell r="J279" t="e">
            <v>#REF!</v>
          </cell>
          <cell r="L279">
            <v>0</v>
          </cell>
          <cell r="M279">
            <v>0</v>
          </cell>
          <cell r="N279">
            <v>0</v>
          </cell>
        </row>
        <row r="280">
          <cell r="G280" t="e">
            <v>#REF!</v>
          </cell>
          <cell r="H280" t="e">
            <v>#REF!</v>
          </cell>
          <cell r="I280" t="e">
            <v>#REF!</v>
          </cell>
          <cell r="J280" t="e">
            <v>#REF!</v>
          </cell>
          <cell r="L280">
            <v>0</v>
          </cell>
          <cell r="M280">
            <v>0</v>
          </cell>
          <cell r="N280">
            <v>0</v>
          </cell>
        </row>
        <row r="281">
          <cell r="G281" t="e">
            <v>#REF!</v>
          </cell>
          <cell r="H281" t="e">
            <v>#REF!</v>
          </cell>
          <cell r="I281" t="e">
            <v>#REF!</v>
          </cell>
          <cell r="J281" t="e">
            <v>#REF!</v>
          </cell>
          <cell r="L281">
            <v>0</v>
          </cell>
          <cell r="M281">
            <v>0</v>
          </cell>
          <cell r="N281">
            <v>0</v>
          </cell>
        </row>
        <row r="282">
          <cell r="G282" t="e">
            <v>#REF!</v>
          </cell>
          <cell r="H282" t="e">
            <v>#REF!</v>
          </cell>
          <cell r="I282" t="e">
            <v>#REF!</v>
          </cell>
          <cell r="J282" t="e">
            <v>#REF!</v>
          </cell>
          <cell r="L282">
            <v>0</v>
          </cell>
          <cell r="M282">
            <v>0</v>
          </cell>
          <cell r="N282">
            <v>0</v>
          </cell>
        </row>
        <row r="283">
          <cell r="G283" t="e">
            <v>#REF!</v>
          </cell>
          <cell r="H283" t="e">
            <v>#REF!</v>
          </cell>
          <cell r="I283" t="e">
            <v>#REF!</v>
          </cell>
          <cell r="J283" t="e">
            <v>#REF!</v>
          </cell>
          <cell r="L283">
            <v>0</v>
          </cell>
          <cell r="M283">
            <v>0</v>
          </cell>
          <cell r="N283">
            <v>0</v>
          </cell>
        </row>
        <row r="284">
          <cell r="G284" t="e">
            <v>#REF!</v>
          </cell>
          <cell r="H284" t="e">
            <v>#REF!</v>
          </cell>
          <cell r="I284" t="e">
            <v>#REF!</v>
          </cell>
          <cell r="J284" t="e">
            <v>#REF!</v>
          </cell>
          <cell r="L284">
            <v>0</v>
          </cell>
          <cell r="M284">
            <v>0</v>
          </cell>
          <cell r="N284">
            <v>0</v>
          </cell>
        </row>
        <row r="285">
          <cell r="G285" t="e">
            <v>#REF!</v>
          </cell>
          <cell r="H285" t="e">
            <v>#REF!</v>
          </cell>
          <cell r="I285" t="e">
            <v>#REF!</v>
          </cell>
          <cell r="J285" t="e">
            <v>#REF!</v>
          </cell>
          <cell r="L285">
            <v>0</v>
          </cell>
          <cell r="M285">
            <v>0</v>
          </cell>
          <cell r="N285">
            <v>0</v>
          </cell>
        </row>
        <row r="286">
          <cell r="G286" t="e">
            <v>#REF!</v>
          </cell>
          <cell r="H286" t="e">
            <v>#REF!</v>
          </cell>
          <cell r="I286" t="e">
            <v>#REF!</v>
          </cell>
          <cell r="J286" t="e">
            <v>#REF!</v>
          </cell>
          <cell r="L286">
            <v>0</v>
          </cell>
          <cell r="M286">
            <v>0</v>
          </cell>
          <cell r="N286">
            <v>0</v>
          </cell>
        </row>
        <row r="287">
          <cell r="G287" t="e">
            <v>#REF!</v>
          </cell>
          <cell r="H287" t="e">
            <v>#REF!</v>
          </cell>
          <cell r="I287" t="e">
            <v>#REF!</v>
          </cell>
          <cell r="J287" t="e">
            <v>#REF!</v>
          </cell>
          <cell r="L287">
            <v>0</v>
          </cell>
          <cell r="M287">
            <v>0</v>
          </cell>
          <cell r="N287">
            <v>0</v>
          </cell>
        </row>
        <row r="288">
          <cell r="G288" t="e">
            <v>#REF!</v>
          </cell>
          <cell r="H288" t="e">
            <v>#REF!</v>
          </cell>
          <cell r="I288" t="e">
            <v>#REF!</v>
          </cell>
          <cell r="J288" t="e">
            <v>#REF!</v>
          </cell>
          <cell r="L288">
            <v>0</v>
          </cell>
          <cell r="M288">
            <v>0</v>
          </cell>
          <cell r="N288">
            <v>0</v>
          </cell>
        </row>
        <row r="289">
          <cell r="G289" t="e">
            <v>#REF!</v>
          </cell>
          <cell r="H289" t="e">
            <v>#REF!</v>
          </cell>
          <cell r="I289" t="e">
            <v>#REF!</v>
          </cell>
          <cell r="J289" t="e">
            <v>#REF!</v>
          </cell>
          <cell r="L289">
            <v>0</v>
          </cell>
          <cell r="M289">
            <v>0</v>
          </cell>
          <cell r="N289">
            <v>0</v>
          </cell>
        </row>
        <row r="290">
          <cell r="G290" t="e">
            <v>#REF!</v>
          </cell>
          <cell r="H290" t="e">
            <v>#REF!</v>
          </cell>
          <cell r="I290" t="e">
            <v>#REF!</v>
          </cell>
          <cell r="J290" t="e">
            <v>#REF!</v>
          </cell>
          <cell r="L290">
            <v>0</v>
          </cell>
          <cell r="M290">
            <v>0</v>
          </cell>
          <cell r="N290">
            <v>0</v>
          </cell>
        </row>
        <row r="291">
          <cell r="G291" t="e">
            <v>#REF!</v>
          </cell>
          <cell r="H291" t="e">
            <v>#REF!</v>
          </cell>
          <cell r="I291" t="e">
            <v>#REF!</v>
          </cell>
          <cell r="J291" t="e">
            <v>#REF!</v>
          </cell>
          <cell r="L291">
            <v>0</v>
          </cell>
          <cell r="M291">
            <v>0</v>
          </cell>
          <cell r="N291">
            <v>0</v>
          </cell>
        </row>
        <row r="292">
          <cell r="G292" t="e">
            <v>#REF!</v>
          </cell>
          <cell r="H292" t="e">
            <v>#REF!</v>
          </cell>
          <cell r="I292" t="e">
            <v>#REF!</v>
          </cell>
          <cell r="J292" t="e">
            <v>#REF!</v>
          </cell>
          <cell r="L292">
            <v>0</v>
          </cell>
          <cell r="M292">
            <v>0</v>
          </cell>
          <cell r="N292">
            <v>0</v>
          </cell>
        </row>
        <row r="293">
          <cell r="G293" t="e">
            <v>#REF!</v>
          </cell>
          <cell r="H293" t="e">
            <v>#REF!</v>
          </cell>
          <cell r="I293" t="e">
            <v>#REF!</v>
          </cell>
          <cell r="J293" t="e">
            <v>#REF!</v>
          </cell>
          <cell r="L293">
            <v>0</v>
          </cell>
          <cell r="M293">
            <v>0</v>
          </cell>
          <cell r="N293">
            <v>0</v>
          </cell>
        </row>
        <row r="294">
          <cell r="G294" t="e">
            <v>#REF!</v>
          </cell>
          <cell r="H294" t="e">
            <v>#REF!</v>
          </cell>
          <cell r="I294" t="e">
            <v>#REF!</v>
          </cell>
          <cell r="J294" t="e">
            <v>#REF!</v>
          </cell>
          <cell r="L294">
            <v>0</v>
          </cell>
          <cell r="M294">
            <v>0</v>
          </cell>
          <cell r="N294">
            <v>0</v>
          </cell>
        </row>
        <row r="295">
          <cell r="G295" t="e">
            <v>#REF!</v>
          </cell>
          <cell r="H295" t="e">
            <v>#REF!</v>
          </cell>
          <cell r="I295" t="e">
            <v>#REF!</v>
          </cell>
          <cell r="J295" t="e">
            <v>#REF!</v>
          </cell>
          <cell r="L295">
            <v>0</v>
          </cell>
          <cell r="M295">
            <v>0</v>
          </cell>
          <cell r="N295">
            <v>0</v>
          </cell>
        </row>
        <row r="296">
          <cell r="G296" t="str">
            <v>______</v>
          </cell>
          <cell r="H296" t="str">
            <v>______</v>
          </cell>
          <cell r="I296" t="str">
            <v>______</v>
          </cell>
          <cell r="J296" t="str">
            <v>______</v>
          </cell>
          <cell r="L296" t="str">
            <v>______</v>
          </cell>
          <cell r="M296" t="str">
            <v>______</v>
          </cell>
          <cell r="N296" t="str">
            <v>______</v>
          </cell>
        </row>
        <row r="297">
          <cell r="G297" t="e">
            <v>#REF!</v>
          </cell>
          <cell r="H297" t="e">
            <v>#REF!</v>
          </cell>
          <cell r="I297" t="e">
            <v>#REF!</v>
          </cell>
          <cell r="J297" t="e">
            <v>#REF!</v>
          </cell>
          <cell r="L297">
            <v>0</v>
          </cell>
          <cell r="M297">
            <v>0</v>
          </cell>
          <cell r="N297">
            <v>0</v>
          </cell>
        </row>
        <row r="299">
          <cell r="G299" t="e">
            <v>#REF!</v>
          </cell>
          <cell r="H299" t="e">
            <v>#REF!</v>
          </cell>
          <cell r="I299" t="e">
            <v>#REF!</v>
          </cell>
          <cell r="J299" t="e">
            <v>#REF!</v>
          </cell>
          <cell r="L299">
            <v>0</v>
          </cell>
          <cell r="M299">
            <v>0</v>
          </cell>
          <cell r="N299">
            <v>0</v>
          </cell>
        </row>
        <row r="301">
          <cell r="G301" t="e">
            <v>#REF!</v>
          </cell>
          <cell r="H301" t="e">
            <v>#REF!</v>
          </cell>
          <cell r="I301" t="e">
            <v>#REF!</v>
          </cell>
          <cell r="J301" t="e">
            <v>#REF!</v>
          </cell>
          <cell r="L301">
            <v>0</v>
          </cell>
          <cell r="M301">
            <v>0</v>
          </cell>
          <cell r="N301">
            <v>0</v>
          </cell>
        </row>
        <row r="303">
          <cell r="G303" t="e">
            <v>#REF!</v>
          </cell>
          <cell r="H303" t="e">
            <v>#REF!</v>
          </cell>
          <cell r="I303" t="e">
            <v>#REF!</v>
          </cell>
          <cell r="J303" t="e">
            <v>#REF!</v>
          </cell>
          <cell r="L303">
            <v>2000</v>
          </cell>
          <cell r="M303">
            <v>2001</v>
          </cell>
          <cell r="N303">
            <v>2002</v>
          </cell>
        </row>
        <row r="306">
          <cell r="G306" t="e">
            <v>#REF!</v>
          </cell>
          <cell r="H306" t="e">
            <v>#REF!</v>
          </cell>
          <cell r="I306" t="e">
            <v>#REF!</v>
          </cell>
          <cell r="J306" t="e">
            <v>#REF!</v>
          </cell>
          <cell r="L306">
            <v>0</v>
          </cell>
          <cell r="M306">
            <v>0</v>
          </cell>
          <cell r="N306">
            <v>0</v>
          </cell>
        </row>
        <row r="307">
          <cell r="G307" t="e">
            <v>#REF!</v>
          </cell>
          <cell r="H307" t="e">
            <v>#REF!</v>
          </cell>
          <cell r="I307" t="e">
            <v>#REF!</v>
          </cell>
          <cell r="J307" t="e">
            <v>#REF!</v>
          </cell>
          <cell r="L307">
            <v>0</v>
          </cell>
          <cell r="M307">
            <v>0</v>
          </cell>
          <cell r="N307">
            <v>0</v>
          </cell>
        </row>
        <row r="308">
          <cell r="G308" t="e">
            <v>#REF!</v>
          </cell>
          <cell r="H308" t="e">
            <v>#REF!</v>
          </cell>
          <cell r="I308" t="e">
            <v>#REF!</v>
          </cell>
          <cell r="J308" t="e">
            <v>#REF!</v>
          </cell>
          <cell r="L308">
            <v>0</v>
          </cell>
          <cell r="M308">
            <v>0</v>
          </cell>
          <cell r="N308">
            <v>0</v>
          </cell>
        </row>
        <row r="309">
          <cell r="G309" t="e">
            <v>#REF!</v>
          </cell>
          <cell r="H309" t="e">
            <v>#REF!</v>
          </cell>
          <cell r="I309" t="e">
            <v>#REF!</v>
          </cell>
          <cell r="J309" t="e">
            <v>#REF!</v>
          </cell>
          <cell r="L309">
            <v>0</v>
          </cell>
          <cell r="M309">
            <v>0</v>
          </cell>
          <cell r="N309">
            <v>0</v>
          </cell>
        </row>
        <row r="310">
          <cell r="G310" t="e">
            <v>#REF!</v>
          </cell>
          <cell r="H310" t="e">
            <v>#REF!</v>
          </cell>
          <cell r="I310" t="e">
            <v>#REF!</v>
          </cell>
          <cell r="J310" t="e">
            <v>#REF!</v>
          </cell>
          <cell r="L310">
            <v>0</v>
          </cell>
          <cell r="M310">
            <v>0</v>
          </cell>
          <cell r="N310">
            <v>0</v>
          </cell>
        </row>
        <row r="311">
          <cell r="G311" t="e">
            <v>#REF!</v>
          </cell>
          <cell r="H311" t="e">
            <v>#REF!</v>
          </cell>
          <cell r="I311" t="e">
            <v>#REF!</v>
          </cell>
          <cell r="J311" t="e">
            <v>#REF!</v>
          </cell>
          <cell r="L311">
            <v>0</v>
          </cell>
          <cell r="M311">
            <v>0</v>
          </cell>
          <cell r="N311">
            <v>0</v>
          </cell>
        </row>
        <row r="312">
          <cell r="G312" t="e">
            <v>#REF!</v>
          </cell>
          <cell r="H312" t="e">
            <v>#REF!</v>
          </cell>
          <cell r="I312" t="e">
            <v>#REF!</v>
          </cell>
          <cell r="J312" t="e">
            <v>#REF!</v>
          </cell>
          <cell r="L312">
            <v>0</v>
          </cell>
          <cell r="M312">
            <v>0</v>
          </cell>
          <cell r="N312">
            <v>0</v>
          </cell>
        </row>
        <row r="314">
          <cell r="G314" t="e">
            <v>#REF!</v>
          </cell>
          <cell r="H314" t="e">
            <v>#REF!</v>
          </cell>
          <cell r="I314" t="e">
            <v>#REF!</v>
          </cell>
          <cell r="J314" t="e">
            <v>#REF!</v>
          </cell>
          <cell r="L314">
            <v>0</v>
          </cell>
          <cell r="M314">
            <v>0</v>
          </cell>
          <cell r="N314">
            <v>0</v>
          </cell>
        </row>
        <row r="316">
          <cell r="G316" t="e">
            <v>#REF!</v>
          </cell>
          <cell r="H316" t="e">
            <v>#REF!</v>
          </cell>
          <cell r="I316" t="e">
            <v>#REF!</v>
          </cell>
          <cell r="J316" t="e">
            <v>#REF!</v>
          </cell>
          <cell r="L316">
            <v>0</v>
          </cell>
          <cell r="M316">
            <v>0</v>
          </cell>
          <cell r="N316">
            <v>0</v>
          </cell>
        </row>
        <row r="318">
          <cell r="G318" t="e">
            <v>#REF!</v>
          </cell>
          <cell r="H318" t="e">
            <v>#REF!</v>
          </cell>
          <cell r="I318" t="e">
            <v>#REF!</v>
          </cell>
          <cell r="J318" t="e">
            <v>#REF!</v>
          </cell>
          <cell r="L318">
            <v>0</v>
          </cell>
          <cell r="M318">
            <v>0</v>
          </cell>
          <cell r="N318">
            <v>0</v>
          </cell>
        </row>
        <row r="398">
          <cell r="G398" t="e">
            <v>#REF!</v>
          </cell>
          <cell r="H398" t="e">
            <v>#REF!</v>
          </cell>
          <cell r="I398" t="e">
            <v>#REF!</v>
          </cell>
          <cell r="J398" t="e">
            <v>#REF!</v>
          </cell>
          <cell r="L398" t="e">
            <v>#REF!</v>
          </cell>
          <cell r="M398" t="e">
            <v>#REF!</v>
          </cell>
          <cell r="N398" t="e">
            <v>#REF!</v>
          </cell>
        </row>
        <row r="399">
          <cell r="G399" t="e">
            <v>#REF!</v>
          </cell>
          <cell r="H399" t="e">
            <v>#REF!</v>
          </cell>
          <cell r="I399" t="e">
            <v>#REF!</v>
          </cell>
          <cell r="J399" t="e">
            <v>#REF!</v>
          </cell>
          <cell r="L399" t="e">
            <v>#REF!</v>
          </cell>
          <cell r="M399" t="e">
            <v>#REF!</v>
          </cell>
          <cell r="N399" t="e">
            <v>#REF!</v>
          </cell>
        </row>
        <row r="400">
          <cell r="G400" t="str">
            <v>______</v>
          </cell>
          <cell r="H400" t="str">
            <v>______</v>
          </cell>
          <cell r="I400" t="str">
            <v>______</v>
          </cell>
          <cell r="J400" t="str">
            <v>______</v>
          </cell>
          <cell r="L400" t="str">
            <v>______</v>
          </cell>
          <cell r="M400" t="str">
            <v>______</v>
          </cell>
          <cell r="N400" t="str">
            <v>______</v>
          </cell>
        </row>
        <row r="401">
          <cell r="G401" t="e">
            <v>#REF!</v>
          </cell>
          <cell r="H401" t="e">
            <v>#REF!</v>
          </cell>
          <cell r="I401" t="e">
            <v>#REF!</v>
          </cell>
          <cell r="J401" t="e">
            <v>#REF!</v>
          </cell>
          <cell r="L401" t="e">
            <v>#REF!</v>
          </cell>
          <cell r="M401" t="e">
            <v>#REF!</v>
          </cell>
          <cell r="N401" t="e">
            <v>#REF!</v>
          </cell>
        </row>
        <row r="406">
          <cell r="H406" t="e">
            <v>#REF!</v>
          </cell>
          <cell r="I406" t="e">
            <v>#REF!</v>
          </cell>
          <cell r="J406" t="e">
            <v>#REF!</v>
          </cell>
          <cell r="M406">
            <v>0</v>
          </cell>
          <cell r="N406">
            <v>0</v>
          </cell>
        </row>
        <row r="407">
          <cell r="G407" t="e">
            <v>#REF!</v>
          </cell>
          <cell r="H407" t="e">
            <v>#REF!</v>
          </cell>
          <cell r="I407" t="e">
            <v>#REF!</v>
          </cell>
          <cell r="J407" t="e">
            <v>#REF!</v>
          </cell>
        </row>
        <row r="409">
          <cell r="J409" t="e">
            <v>#REF!</v>
          </cell>
          <cell r="L409">
            <v>0</v>
          </cell>
          <cell r="M409">
            <v>0</v>
          </cell>
          <cell r="N409">
            <v>0</v>
          </cell>
        </row>
        <row r="410">
          <cell r="J410" t="e">
            <v>#REF!</v>
          </cell>
          <cell r="L410">
            <v>0</v>
          </cell>
          <cell r="M410">
            <v>0</v>
          </cell>
          <cell r="N410">
            <v>0</v>
          </cell>
        </row>
        <row r="411">
          <cell r="J411" t="e">
            <v>#REF!</v>
          </cell>
          <cell r="L411">
            <v>0</v>
          </cell>
          <cell r="M411">
            <v>0</v>
          </cell>
          <cell r="N411">
            <v>0</v>
          </cell>
        </row>
        <row r="412">
          <cell r="J412" t="e">
            <v>#REF!</v>
          </cell>
          <cell r="L412">
            <v>0</v>
          </cell>
          <cell r="M412">
            <v>0</v>
          </cell>
          <cell r="N412">
            <v>0</v>
          </cell>
        </row>
        <row r="413">
          <cell r="G413" t="e">
            <v>#REF!</v>
          </cell>
          <cell r="H413" t="e">
            <v>#REF!</v>
          </cell>
          <cell r="I413" t="e">
            <v>#REF!</v>
          </cell>
          <cell r="J413" t="e">
            <v>#REF!</v>
          </cell>
          <cell r="L413">
            <v>0</v>
          </cell>
          <cell r="M413">
            <v>0</v>
          </cell>
          <cell r="N413">
            <v>0</v>
          </cell>
        </row>
        <row r="414">
          <cell r="G414" t="e">
            <v>#REF!</v>
          </cell>
          <cell r="H414" t="e">
            <v>#REF!</v>
          </cell>
          <cell r="I414" t="e">
            <v>#REF!</v>
          </cell>
          <cell r="J414" t="e">
            <v>#REF!</v>
          </cell>
        </row>
        <row r="415">
          <cell r="G415" t="e">
            <v>#REF!</v>
          </cell>
          <cell r="H415" t="e">
            <v>#REF!</v>
          </cell>
          <cell r="I415" t="e">
            <v>#REF!</v>
          </cell>
          <cell r="J415" t="e">
            <v>#REF!</v>
          </cell>
        </row>
        <row r="416">
          <cell r="G416" t="e">
            <v>#REF!</v>
          </cell>
          <cell r="H416" t="e">
            <v>#REF!</v>
          </cell>
          <cell r="I416" t="e">
            <v>#REF!</v>
          </cell>
          <cell r="J416" t="e">
            <v>#REF!</v>
          </cell>
        </row>
        <row r="417">
          <cell r="J417" t="e">
            <v>#REF!</v>
          </cell>
        </row>
        <row r="418">
          <cell r="J418" t="e">
            <v>#REF!</v>
          </cell>
        </row>
        <row r="419">
          <cell r="J419">
            <v>0</v>
          </cell>
        </row>
        <row r="420">
          <cell r="J420">
            <v>0</v>
          </cell>
        </row>
        <row r="423">
          <cell r="G423" t="e">
            <v>#REF!</v>
          </cell>
          <cell r="H423" t="e">
            <v>#REF!</v>
          </cell>
          <cell r="I423" t="e">
            <v>#REF!</v>
          </cell>
          <cell r="J423">
            <v>0</v>
          </cell>
          <cell r="L423">
            <v>0</v>
          </cell>
          <cell r="M423">
            <v>0</v>
          </cell>
          <cell r="N423">
            <v>0</v>
          </cell>
        </row>
        <row r="424">
          <cell r="G424" t="e">
            <v>#REF!</v>
          </cell>
          <cell r="H424" t="e">
            <v>#REF!</v>
          </cell>
          <cell r="I424" t="e">
            <v>#REF!</v>
          </cell>
          <cell r="J424">
            <v>0</v>
          </cell>
          <cell r="L424" t="e">
            <v>#REF!</v>
          </cell>
          <cell r="M424" t="e">
            <v>#REF!</v>
          </cell>
          <cell r="N424">
            <v>0</v>
          </cell>
        </row>
      </sheetData>
      <sheetData sheetId="15" refreshError="1">
        <row r="9">
          <cell r="B9" t="str">
            <v>Senior Debt*/EBITDA</v>
          </cell>
          <cell r="D9" t="str">
            <v>n/a</v>
          </cell>
          <cell r="E9" t="str">
            <v>n/a</v>
          </cell>
          <cell r="F9" t="str">
            <v>n/a</v>
          </cell>
          <cell r="G9" t="str">
            <v>n/a</v>
          </cell>
          <cell r="I9" t="str">
            <v>n/a</v>
          </cell>
          <cell r="J9" t="str">
            <v>n/a</v>
          </cell>
          <cell r="K9" t="str">
            <v>n/a</v>
          </cell>
        </row>
        <row r="10">
          <cell r="B10" t="str">
            <v>Total Debt/EBITDA</v>
          </cell>
          <cell r="D10" t="str">
            <v>n/a</v>
          </cell>
          <cell r="E10" t="str">
            <v>n/a</v>
          </cell>
          <cell r="F10" t="str">
            <v>n/a</v>
          </cell>
          <cell r="G10" t="str">
            <v>n/a</v>
          </cell>
          <cell r="I10" t="str">
            <v>n/a</v>
          </cell>
          <cell r="J10" t="str">
            <v>n/a</v>
          </cell>
          <cell r="K10" t="str">
            <v>n/a</v>
          </cell>
        </row>
        <row r="11">
          <cell r="B11" t="str">
            <v>Total Debt/(EBITDA-CAPEX)</v>
          </cell>
          <cell r="D11" t="str">
            <v>n/a</v>
          </cell>
          <cell r="E11" t="str">
            <v>n/a</v>
          </cell>
          <cell r="F11" t="str">
            <v>n/a</v>
          </cell>
          <cell r="G11" t="str">
            <v>n/a</v>
          </cell>
          <cell r="I11" t="str">
            <v>n/a</v>
          </cell>
          <cell r="J11" t="str">
            <v>n/a</v>
          </cell>
          <cell r="K11" t="str">
            <v>n/a</v>
          </cell>
          <cell r="O11" t="str">
            <v>EBITDA</v>
          </cell>
          <cell r="Q11" t="str">
            <v>n/a</v>
          </cell>
          <cell r="R11" t="str">
            <v>n/a</v>
          </cell>
          <cell r="S11" t="str">
            <v>n/a</v>
          </cell>
          <cell r="T11" t="str">
            <v>n/a</v>
          </cell>
          <cell r="V11" t="str">
            <v>n/a</v>
          </cell>
          <cell r="W11" t="str">
            <v>n/a</v>
          </cell>
          <cell r="X11" t="str">
            <v>n/a</v>
          </cell>
        </row>
        <row r="12">
          <cell r="O12" t="str">
            <v>EBITDA Margin</v>
          </cell>
          <cell r="Q12" t="str">
            <v>n/a</v>
          </cell>
          <cell r="R12" t="str">
            <v>n/a</v>
          </cell>
          <cell r="S12" t="str">
            <v>n/a</v>
          </cell>
          <cell r="T12" t="str">
            <v>n/a</v>
          </cell>
          <cell r="V12" t="str">
            <v>n/a</v>
          </cell>
          <cell r="W12" t="str">
            <v>n/a</v>
          </cell>
          <cell r="X12" t="str">
            <v>n/a</v>
          </cell>
        </row>
        <row r="13">
          <cell r="O13" t="str">
            <v>% Growth</v>
          </cell>
          <cell r="R13" t="str">
            <v>n/a</v>
          </cell>
          <cell r="S13" t="str">
            <v>n/a</v>
          </cell>
          <cell r="T13" t="str">
            <v>n/a</v>
          </cell>
          <cell r="W13" t="str">
            <v>n/a</v>
          </cell>
          <cell r="X13" t="str">
            <v>n/a</v>
          </cell>
        </row>
        <row r="14">
          <cell r="O14" t="str">
            <v>Depreciation &amp; Amortization</v>
          </cell>
          <cell r="Q14" t="str">
            <v>n/a</v>
          </cell>
          <cell r="R14" t="str">
            <v>n/a</v>
          </cell>
          <cell r="S14" t="str">
            <v>n/a</v>
          </cell>
          <cell r="T14" t="str">
            <v>n/a</v>
          </cell>
          <cell r="V14" t="str">
            <v>n/a</v>
          </cell>
          <cell r="W14" t="str">
            <v>n/a</v>
          </cell>
          <cell r="X14" t="str">
            <v>n/a</v>
          </cell>
        </row>
        <row r="25">
          <cell r="B25" t="str">
            <v>EBITDA</v>
          </cell>
          <cell r="D25" t="str">
            <v>n/a</v>
          </cell>
          <cell r="E25" t="str">
            <v>n/a</v>
          </cell>
          <cell r="F25" t="str">
            <v>n/a</v>
          </cell>
          <cell r="G25" t="str">
            <v>n/a</v>
          </cell>
          <cell r="I25" t="str">
            <v>n/a</v>
          </cell>
          <cell r="J25" t="str">
            <v>n/a</v>
          </cell>
          <cell r="K25" t="str">
            <v>n/a</v>
          </cell>
          <cell r="O25" t="str">
            <v>Total Cash &amp; Cash Equivalents</v>
          </cell>
          <cell r="Q25" t="str">
            <v>n/a</v>
          </cell>
          <cell r="R25" t="str">
            <v>n/a</v>
          </cell>
          <cell r="S25" t="str">
            <v>n/a</v>
          </cell>
          <cell r="T25" t="str">
            <v>n/a</v>
          </cell>
          <cell r="V25">
            <v>0</v>
          </cell>
          <cell r="W25">
            <v>0</v>
          </cell>
          <cell r="X25">
            <v>0</v>
          </cell>
        </row>
        <row r="26">
          <cell r="B26" t="str">
            <v>Interest</v>
          </cell>
          <cell r="D26" t="str">
            <v>n/a</v>
          </cell>
          <cell r="E26" t="str">
            <v>n/a</v>
          </cell>
          <cell r="F26" t="str">
            <v>n/a</v>
          </cell>
          <cell r="G26" t="str">
            <v>n/a</v>
          </cell>
          <cell r="I26" t="str">
            <v>n/a</v>
          </cell>
          <cell r="J26" t="str">
            <v>n/a</v>
          </cell>
          <cell r="K26" t="str">
            <v>n/a</v>
          </cell>
          <cell r="O26" t="str">
            <v>Working Capital, Including Cash</v>
          </cell>
          <cell r="Q26" t="str">
            <v>n/a</v>
          </cell>
          <cell r="R26" t="str">
            <v>n/a</v>
          </cell>
          <cell r="S26" t="str">
            <v>n/a</v>
          </cell>
          <cell r="T26" t="str">
            <v>n/a</v>
          </cell>
          <cell r="V26">
            <v>0</v>
          </cell>
          <cell r="W26">
            <v>0</v>
          </cell>
          <cell r="X26">
            <v>0</v>
          </cell>
        </row>
        <row r="27">
          <cell r="B27" t="str">
            <v>CAPEX</v>
          </cell>
          <cell r="D27" t="str">
            <v>n/a</v>
          </cell>
          <cell r="E27" t="str">
            <v>n/a</v>
          </cell>
          <cell r="F27" t="str">
            <v>n/a</v>
          </cell>
          <cell r="G27" t="str">
            <v>n/a</v>
          </cell>
          <cell r="I27" t="str">
            <v>n/a</v>
          </cell>
          <cell r="J27" t="str">
            <v>n/a</v>
          </cell>
          <cell r="K27" t="str">
            <v>n/a</v>
          </cell>
        </row>
        <row r="28">
          <cell r="B28" t="str">
            <v>EBITDA/Total Interest</v>
          </cell>
          <cell r="D28" t="str">
            <v>n/a</v>
          </cell>
          <cell r="E28" t="str">
            <v>n/a</v>
          </cell>
          <cell r="F28" t="str">
            <v>n/a</v>
          </cell>
          <cell r="G28" t="str">
            <v>n/a</v>
          </cell>
          <cell r="I28" t="str">
            <v>n/a</v>
          </cell>
          <cell r="J28" t="str">
            <v>n/a</v>
          </cell>
          <cell r="K28" t="str">
            <v>n/a</v>
          </cell>
        </row>
        <row r="29">
          <cell r="B29" t="str">
            <v>(EBITDA-CAPEX)/Total Interest</v>
          </cell>
          <cell r="D29" t="str">
            <v>n/a</v>
          </cell>
          <cell r="E29" t="str">
            <v>n/a</v>
          </cell>
          <cell r="F29" t="str">
            <v>n/a</v>
          </cell>
          <cell r="G29" t="str">
            <v>n/a</v>
          </cell>
          <cell r="I29" t="str">
            <v>n/a</v>
          </cell>
          <cell r="J29" t="str">
            <v>n/a</v>
          </cell>
          <cell r="K29" t="str">
            <v>n/a</v>
          </cell>
        </row>
        <row r="30">
          <cell r="B30" t="str">
            <v>EBIT/Total Interest</v>
          </cell>
          <cell r="D30" t="str">
            <v>n/a</v>
          </cell>
          <cell r="E30" t="str">
            <v>n/a</v>
          </cell>
          <cell r="F30" t="str">
            <v>n/a</v>
          </cell>
          <cell r="G30" t="str">
            <v>n/a</v>
          </cell>
          <cell r="I30" t="str">
            <v>n/a</v>
          </cell>
          <cell r="J30" t="str">
            <v>n/a</v>
          </cell>
          <cell r="K30" t="str">
            <v>n/a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>
        <row r="9">
          <cell r="B9" t="str">
            <v>Senior Debt*/EBITDA</v>
          </cell>
        </row>
      </sheetData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RIO ICA AG 2017"/>
      <sheetName val="REGIMEN ORDINARIO -SIMPLIFICADO"/>
      <sheetName val="CUENTAS BANCARIAS"/>
      <sheetName val="PLAZOS -INCENTIVOS"/>
      <sheetName val="OFICINA ADIC SECT FINANCIERO"/>
      <sheetName val="SANCIONES"/>
      <sheetName val="TARIFAS AG 2017"/>
      <sheetName val="Admin"/>
      <sheetName val="Portada"/>
      <sheetName val="Ingreso x cuenta"/>
      <sheetName val="LiquidacionT"/>
      <sheetName val="Depuracionmunicipio"/>
      <sheetName val="M PAGO"/>
      <sheetName val="A PLANO"/>
      <sheetName val="Parametros"/>
      <sheetName val="Calendario"/>
      <sheetName val="Check list"/>
      <sheetName val="ENERO"/>
      <sheetName val="FEBRERO"/>
      <sheetName val="MARZO"/>
      <sheetName val="ABRIL"/>
      <sheetName val="MAYO"/>
      <sheetName val="JUNIO "/>
      <sheetName val="JULIO"/>
      <sheetName val="AGOSTO"/>
      <sheetName val="SEPTIEMBRE"/>
      <sheetName val="OCTUBRE"/>
      <sheetName val="NOVIEMBRE"/>
      <sheetName val="DICIEMBR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impuestos@geb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Z1048559"/>
  <sheetViews>
    <sheetView workbookViewId="0">
      <selection activeCell="B8" sqref="B1:B8"/>
    </sheetView>
  </sheetViews>
  <sheetFormatPr baseColWidth="10" defaultColWidth="1.5703125" defaultRowHeight="15" zeroHeight="1"/>
  <cols>
    <col min="1" max="1" width="23.42578125" bestFit="1" customWidth="1"/>
    <col min="2" max="2" width="29.42578125" customWidth="1"/>
    <col min="3" max="3" width="4.42578125" hidden="1" customWidth="1"/>
    <col min="4" max="4" width="1.42578125" hidden="1" customWidth="1"/>
    <col min="5" max="5" width="4.42578125" customWidth="1"/>
    <col min="6" max="6" width="2.42578125" customWidth="1"/>
    <col min="7" max="17" width="6" customWidth="1"/>
    <col min="18" max="18" width="11.5703125" customWidth="1"/>
    <col min="19" max="19" width="10.140625" customWidth="1"/>
    <col min="20" max="20" width="6" customWidth="1"/>
    <col min="21" max="21" width="16" customWidth="1"/>
    <col min="22" max="22" width="13.7109375" customWidth="1"/>
    <col min="23" max="24" width="6" customWidth="1"/>
    <col min="25" max="25" width="19.28515625" customWidth="1"/>
    <col min="26" max="26" width="2.5703125" customWidth="1"/>
  </cols>
  <sheetData>
    <row r="1" spans="1:26">
      <c r="A1" s="97" t="s">
        <v>249</v>
      </c>
      <c r="B1" s="98"/>
      <c r="C1" s="98"/>
      <c r="D1" s="98"/>
    </row>
    <row r="2" spans="1:26">
      <c r="A2" s="23" t="s">
        <v>0</v>
      </c>
      <c r="B2" s="93">
        <v>899999082</v>
      </c>
      <c r="C2" s="93"/>
    </row>
    <row r="3" spans="1:26">
      <c r="A3" s="23" t="s">
        <v>1</v>
      </c>
      <c r="B3" s="93" t="s">
        <v>269</v>
      </c>
    </row>
    <row r="4" spans="1:26">
      <c r="A4" s="23" t="s">
        <v>2</v>
      </c>
      <c r="B4" s="93" t="s">
        <v>270</v>
      </c>
    </row>
    <row r="5" spans="1:26">
      <c r="A5" s="23" t="s">
        <v>3</v>
      </c>
      <c r="B5" s="93">
        <v>2025</v>
      </c>
    </row>
    <row r="6" spans="1:26">
      <c r="A6" s="23" t="s">
        <v>4</v>
      </c>
      <c r="B6" s="8" t="s">
        <v>23</v>
      </c>
    </row>
    <row r="7" spans="1:26">
      <c r="A7" s="23" t="s">
        <v>5</v>
      </c>
      <c r="B7" s="93" t="s">
        <v>268</v>
      </c>
    </row>
    <row r="8" spans="1:26">
      <c r="A8" s="23" t="s">
        <v>6</v>
      </c>
      <c r="B8" s="102" t="s">
        <v>272</v>
      </c>
      <c r="R8" s="1" t="str">
        <f>+RIGHT($B$8,5)</f>
        <v>47189</v>
      </c>
    </row>
    <row r="9" spans="1:26">
      <c r="A9" s="23" t="s">
        <v>7</v>
      </c>
      <c r="B9" s="102" t="s">
        <v>273</v>
      </c>
      <c r="R9" t="s">
        <v>14</v>
      </c>
    </row>
    <row r="10" spans="1:26">
      <c r="A10" s="23" t="s">
        <v>8</v>
      </c>
      <c r="B10" s="94"/>
    </row>
    <row r="11" spans="1:26">
      <c r="A11" s="23" t="s">
        <v>9</v>
      </c>
      <c r="B11" s="94"/>
    </row>
    <row r="12" spans="1:26" ht="15.75" thickBot="1">
      <c r="A12" s="23" t="s">
        <v>10</v>
      </c>
      <c r="B12" s="94"/>
      <c r="Y12" s="21" t="s">
        <v>71</v>
      </c>
    </row>
    <row r="13" spans="1:26" ht="14.25" customHeight="1" thickBot="1">
      <c r="A13" s="23" t="s">
        <v>11</v>
      </c>
      <c r="B13" s="94" t="s">
        <v>271</v>
      </c>
      <c r="S13" s="3" t="str">
        <f>+VLOOKUP(B6,$R$14:$S$42,2,0)</f>
        <v>13</v>
      </c>
      <c r="W13" s="3" t="str">
        <f>+VLOOKUP(B6,$U$14:$W$43,3,0)</f>
        <v>27</v>
      </c>
      <c r="Y13" s="99">
        <f>+VLOOKUP(B6,Y14:Z42,2,0)</f>
        <v>74</v>
      </c>
    </row>
    <row r="14" spans="1:26">
      <c r="A14" s="23" t="s">
        <v>12</v>
      </c>
      <c r="B14" s="94"/>
      <c r="R14" s="6" t="s">
        <v>41</v>
      </c>
      <c r="S14" s="7" t="s">
        <v>92</v>
      </c>
      <c r="U14" s="6" t="s">
        <v>41</v>
      </c>
      <c r="V14" s="6" t="s">
        <v>42</v>
      </c>
      <c r="W14" s="7" t="s">
        <v>75</v>
      </c>
      <c r="Y14" s="6" t="s">
        <v>41</v>
      </c>
      <c r="Z14" s="4">
        <v>64</v>
      </c>
    </row>
    <row r="15" spans="1:26">
      <c r="A15" s="23" t="s">
        <v>13</v>
      </c>
      <c r="B15" s="94"/>
      <c r="R15" s="8" t="s">
        <v>43</v>
      </c>
      <c r="S15" s="9" t="s">
        <v>93</v>
      </c>
      <c r="U15" s="8" t="s">
        <v>43</v>
      </c>
      <c r="V15" s="8" t="s">
        <v>44</v>
      </c>
      <c r="W15" s="9" t="s">
        <v>76</v>
      </c>
      <c r="Y15" s="8" t="s">
        <v>43</v>
      </c>
      <c r="Z15" s="5">
        <v>65</v>
      </c>
    </row>
    <row r="16" spans="1:26">
      <c r="A16" s="96"/>
      <c r="B16" s="98"/>
      <c r="R16" s="8" t="s">
        <v>15</v>
      </c>
      <c r="S16" s="9" t="s">
        <v>94</v>
      </c>
      <c r="U16" s="8" t="s">
        <v>15</v>
      </c>
      <c r="V16" s="8" t="s">
        <v>45</v>
      </c>
      <c r="W16" s="9" t="s">
        <v>77</v>
      </c>
      <c r="Y16" s="8" t="s">
        <v>15</v>
      </c>
      <c r="Z16" s="5">
        <v>66</v>
      </c>
    </row>
    <row r="17" spans="1:26">
      <c r="A17" s="23"/>
      <c r="B17" s="2"/>
      <c r="R17" s="8" t="s">
        <v>16</v>
      </c>
      <c r="S17" s="9" t="s">
        <v>95</v>
      </c>
      <c r="U17" s="8" t="s">
        <v>16</v>
      </c>
      <c r="V17" s="8" t="s">
        <v>46</v>
      </c>
      <c r="W17" s="9" t="s">
        <v>78</v>
      </c>
      <c r="Y17" s="8" t="s">
        <v>16</v>
      </c>
      <c r="Z17" s="5">
        <v>67</v>
      </c>
    </row>
    <row r="18" spans="1:26">
      <c r="A18" s="23"/>
      <c r="B18" s="23"/>
      <c r="C18" s="23"/>
      <c r="D18" s="23"/>
      <c r="E18" s="23"/>
      <c r="F18" s="23"/>
      <c r="R18" s="8" t="s">
        <v>17</v>
      </c>
      <c r="S18" s="9" t="s">
        <v>96</v>
      </c>
      <c r="U18" s="8" t="s">
        <v>17</v>
      </c>
      <c r="V18" s="8" t="s">
        <v>47</v>
      </c>
      <c r="W18" s="9" t="s">
        <v>114</v>
      </c>
      <c r="Y18" s="8" t="s">
        <v>17</v>
      </c>
      <c r="Z18" s="5">
        <v>68</v>
      </c>
    </row>
    <row r="19" spans="1:26">
      <c r="A19" s="23"/>
      <c r="R19" s="8" t="s">
        <v>18</v>
      </c>
      <c r="S19" s="9" t="s">
        <v>97</v>
      </c>
      <c r="U19" s="8" t="s">
        <v>18</v>
      </c>
      <c r="V19" s="8" t="s">
        <v>48</v>
      </c>
      <c r="W19" s="9" t="s">
        <v>115</v>
      </c>
      <c r="Y19" s="8" t="s">
        <v>18</v>
      </c>
      <c r="Z19" s="5">
        <v>69</v>
      </c>
    </row>
    <row r="20" spans="1:26">
      <c r="R20" s="8" t="s">
        <v>19</v>
      </c>
      <c r="S20" s="9" t="s">
        <v>98</v>
      </c>
      <c r="U20" s="8" t="s">
        <v>19</v>
      </c>
      <c r="V20" s="8" t="s">
        <v>49</v>
      </c>
      <c r="W20" s="9" t="s">
        <v>79</v>
      </c>
      <c r="Y20" s="8" t="s">
        <v>19</v>
      </c>
      <c r="Z20" s="5">
        <v>70</v>
      </c>
    </row>
    <row r="21" spans="1:26">
      <c r="A21" s="23"/>
      <c r="R21" s="8" t="s">
        <v>20</v>
      </c>
      <c r="S21" s="9" t="s">
        <v>99</v>
      </c>
      <c r="U21" s="8" t="s">
        <v>20</v>
      </c>
      <c r="V21" s="8" t="s">
        <v>50</v>
      </c>
      <c r="W21" s="9" t="s">
        <v>116</v>
      </c>
      <c r="Y21" s="8" t="s">
        <v>20</v>
      </c>
      <c r="Z21" s="5">
        <v>71</v>
      </c>
    </row>
    <row r="22" spans="1:26">
      <c r="A22" s="23"/>
      <c r="R22" s="8" t="s">
        <v>21</v>
      </c>
      <c r="S22" s="9" t="s">
        <v>72</v>
      </c>
      <c r="U22" s="8" t="s">
        <v>21</v>
      </c>
      <c r="V22" s="8" t="s">
        <v>51</v>
      </c>
      <c r="W22" s="9" t="s">
        <v>80</v>
      </c>
      <c r="Y22" s="8" t="s">
        <v>21</v>
      </c>
      <c r="Z22" s="5">
        <v>72</v>
      </c>
    </row>
    <row r="23" spans="1:26">
      <c r="A23" s="23"/>
      <c r="R23" s="8" t="s">
        <v>22</v>
      </c>
      <c r="S23" s="9" t="s">
        <v>100</v>
      </c>
      <c r="U23" s="8" t="s">
        <v>22</v>
      </c>
      <c r="V23" s="8" t="s">
        <v>52</v>
      </c>
      <c r="W23" s="9" t="s">
        <v>117</v>
      </c>
      <c r="Y23" s="8" t="s">
        <v>22</v>
      </c>
      <c r="Z23" s="5">
        <v>73</v>
      </c>
    </row>
    <row r="24" spans="1:26">
      <c r="A24" s="23"/>
      <c r="R24" s="8" t="s">
        <v>23</v>
      </c>
      <c r="S24" s="9" t="s">
        <v>73</v>
      </c>
      <c r="U24" s="8" t="s">
        <v>23</v>
      </c>
      <c r="V24" s="8" t="s">
        <v>53</v>
      </c>
      <c r="W24" s="9" t="s">
        <v>81</v>
      </c>
      <c r="Y24" s="8" t="s">
        <v>23</v>
      </c>
      <c r="Z24" s="5">
        <v>74</v>
      </c>
    </row>
    <row r="25" spans="1:26">
      <c r="A25" s="23"/>
      <c r="R25" s="8" t="s">
        <v>24</v>
      </c>
      <c r="S25" s="9" t="s">
        <v>101</v>
      </c>
      <c r="U25" s="8" t="s">
        <v>24</v>
      </c>
      <c r="V25" s="8" t="s">
        <v>54</v>
      </c>
      <c r="W25" s="9" t="s">
        <v>118</v>
      </c>
      <c r="Y25" s="8" t="s">
        <v>24</v>
      </c>
      <c r="Z25" s="5">
        <v>75</v>
      </c>
    </row>
    <row r="26" spans="1:26">
      <c r="A26" s="23"/>
      <c r="R26" s="8" t="s">
        <v>55</v>
      </c>
      <c r="S26" s="9" t="s">
        <v>74</v>
      </c>
      <c r="U26" s="8" t="s">
        <v>55</v>
      </c>
      <c r="V26" s="8" t="s">
        <v>56</v>
      </c>
      <c r="W26" s="9" t="s">
        <v>119</v>
      </c>
      <c r="Y26" s="8" t="s">
        <v>55</v>
      </c>
      <c r="Z26" s="5"/>
    </row>
    <row r="27" spans="1:26">
      <c r="A27" s="23"/>
      <c r="R27" s="8" t="s">
        <v>25</v>
      </c>
      <c r="S27" s="9" t="s">
        <v>102</v>
      </c>
      <c r="U27" s="8" t="s">
        <v>57</v>
      </c>
      <c r="V27" s="8" t="s">
        <v>57</v>
      </c>
      <c r="W27" s="9" t="s">
        <v>120</v>
      </c>
      <c r="Y27" s="8" t="s">
        <v>25</v>
      </c>
      <c r="Z27" s="5">
        <v>76</v>
      </c>
    </row>
    <row r="28" spans="1:26">
      <c r="A28" s="23"/>
      <c r="R28" s="8" t="s">
        <v>26</v>
      </c>
      <c r="S28" s="9" t="s">
        <v>103</v>
      </c>
      <c r="U28" s="8" t="s">
        <v>25</v>
      </c>
      <c r="V28" s="8" t="s">
        <v>58</v>
      </c>
      <c r="W28" s="9" t="s">
        <v>121</v>
      </c>
      <c r="Y28" s="8" t="s">
        <v>26</v>
      </c>
      <c r="Z28" s="5">
        <v>77</v>
      </c>
    </row>
    <row r="29" spans="1:26">
      <c r="A29" s="23"/>
      <c r="R29" s="8" t="s">
        <v>27</v>
      </c>
      <c r="S29" s="9" t="s">
        <v>104</v>
      </c>
      <c r="U29" s="8" t="s">
        <v>26</v>
      </c>
      <c r="V29" s="8" t="s">
        <v>59</v>
      </c>
      <c r="W29" s="9" t="s">
        <v>122</v>
      </c>
      <c r="Y29" s="8" t="s">
        <v>27</v>
      </c>
      <c r="Z29" s="5">
        <v>78</v>
      </c>
    </row>
    <row r="30" spans="1:26">
      <c r="A30" s="23"/>
      <c r="R30" s="8" t="s">
        <v>28</v>
      </c>
      <c r="S30" s="9" t="s">
        <v>105</v>
      </c>
      <c r="U30" s="8" t="s">
        <v>27</v>
      </c>
      <c r="V30" s="8" t="s">
        <v>60</v>
      </c>
      <c r="W30" s="9" t="s">
        <v>82</v>
      </c>
      <c r="Y30" s="8" t="s">
        <v>28</v>
      </c>
      <c r="Z30" s="5">
        <v>79</v>
      </c>
    </row>
    <row r="31" spans="1:26">
      <c r="A31" s="23"/>
      <c r="R31" s="8" t="s">
        <v>29</v>
      </c>
      <c r="S31" s="9" t="s">
        <v>106</v>
      </c>
      <c r="U31" s="8" t="s">
        <v>28</v>
      </c>
      <c r="V31" s="8" t="s">
        <v>61</v>
      </c>
      <c r="W31" s="9" t="s">
        <v>123</v>
      </c>
      <c r="Y31" s="8" t="s">
        <v>29</v>
      </c>
      <c r="Z31" s="5">
        <v>80</v>
      </c>
    </row>
    <row r="32" spans="1:26">
      <c r="A32" s="23"/>
      <c r="R32" s="8" t="s">
        <v>30</v>
      </c>
      <c r="S32" s="9" t="s">
        <v>107</v>
      </c>
      <c r="U32" s="8" t="s">
        <v>29</v>
      </c>
      <c r="V32" s="8" t="s">
        <v>62</v>
      </c>
      <c r="W32" s="9" t="s">
        <v>124</v>
      </c>
      <c r="Y32" s="8" t="s">
        <v>30</v>
      </c>
      <c r="Z32" s="5">
        <v>81</v>
      </c>
    </row>
    <row r="33" spans="1:26">
      <c r="A33" s="23"/>
      <c r="R33" s="8" t="s">
        <v>34</v>
      </c>
      <c r="S33" s="9" t="s">
        <v>108</v>
      </c>
      <c r="U33" s="8" t="s">
        <v>30</v>
      </c>
      <c r="V33" s="8" t="s">
        <v>63</v>
      </c>
      <c r="W33" s="9" t="s">
        <v>83</v>
      </c>
      <c r="Y33" s="8" t="s">
        <v>34</v>
      </c>
      <c r="Z33" s="5">
        <v>82</v>
      </c>
    </row>
    <row r="34" spans="1:26">
      <c r="A34" s="23"/>
      <c r="R34" s="8" t="s">
        <v>35</v>
      </c>
      <c r="S34" s="9" t="s">
        <v>84</v>
      </c>
      <c r="U34" s="8" t="s">
        <v>34</v>
      </c>
      <c r="V34" s="8" t="s">
        <v>64</v>
      </c>
      <c r="W34" s="9" t="s">
        <v>125</v>
      </c>
      <c r="Y34" s="8" t="s">
        <v>35</v>
      </c>
      <c r="Z34" s="5">
        <v>83</v>
      </c>
    </row>
    <row r="35" spans="1:26">
      <c r="A35" s="23"/>
      <c r="R35" s="8" t="s">
        <v>36</v>
      </c>
      <c r="S35" s="9" t="s">
        <v>109</v>
      </c>
      <c r="U35" s="8" t="s">
        <v>35</v>
      </c>
      <c r="V35" s="8" t="s">
        <v>65</v>
      </c>
      <c r="W35" s="9" t="s">
        <v>85</v>
      </c>
      <c r="Y35" s="8" t="s">
        <v>36</v>
      </c>
      <c r="Z35" s="5">
        <v>84</v>
      </c>
    </row>
    <row r="36" spans="1:26">
      <c r="A36" s="23"/>
      <c r="R36" s="8" t="s">
        <v>37</v>
      </c>
      <c r="S36" s="9" t="s">
        <v>110</v>
      </c>
      <c r="U36" s="8" t="s">
        <v>36</v>
      </c>
      <c r="V36" s="8" t="s">
        <v>66</v>
      </c>
      <c r="W36" s="9" t="s">
        <v>126</v>
      </c>
      <c r="Y36" s="8" t="s">
        <v>37</v>
      </c>
      <c r="Z36" s="5">
        <v>85</v>
      </c>
    </row>
    <row r="37" spans="1:26">
      <c r="A37" s="23"/>
      <c r="R37" s="8" t="s">
        <v>250</v>
      </c>
      <c r="S37" s="9" t="s">
        <v>111</v>
      </c>
      <c r="U37" s="8" t="s">
        <v>37</v>
      </c>
      <c r="V37" s="8" t="s">
        <v>67</v>
      </c>
      <c r="W37" s="9" t="s">
        <v>86</v>
      </c>
      <c r="Y37" s="8" t="s">
        <v>250</v>
      </c>
      <c r="Z37" s="5">
        <v>86</v>
      </c>
    </row>
    <row r="38" spans="1:26">
      <c r="A38" s="23"/>
      <c r="B38" s="23"/>
      <c r="R38" s="8" t="s">
        <v>251</v>
      </c>
      <c r="S38" s="9" t="s">
        <v>112</v>
      </c>
      <c r="U38" s="8" t="s">
        <v>250</v>
      </c>
      <c r="V38" s="8" t="s">
        <v>256</v>
      </c>
      <c r="W38" s="9" t="s">
        <v>127</v>
      </c>
      <c r="Y38" s="8" t="s">
        <v>251</v>
      </c>
      <c r="Z38" s="5">
        <v>87</v>
      </c>
    </row>
    <row r="39" spans="1:26">
      <c r="A39" s="23"/>
      <c r="R39" s="8" t="s">
        <v>252</v>
      </c>
      <c r="S39" s="9" t="s">
        <v>129</v>
      </c>
      <c r="U39" s="8" t="s">
        <v>251</v>
      </c>
      <c r="V39" s="8" t="s">
        <v>257</v>
      </c>
      <c r="W39" s="9" t="s">
        <v>130</v>
      </c>
      <c r="Y39" s="8" t="s">
        <v>252</v>
      </c>
      <c r="Z39" s="5">
        <v>88</v>
      </c>
    </row>
    <row r="40" spans="1:26">
      <c r="A40" s="23"/>
      <c r="R40" s="8" t="s">
        <v>38</v>
      </c>
      <c r="S40" s="9" t="s">
        <v>128</v>
      </c>
      <c r="U40" s="8" t="s">
        <v>252</v>
      </c>
      <c r="V40" s="8" t="s">
        <v>258</v>
      </c>
      <c r="W40" s="9" t="s">
        <v>113</v>
      </c>
      <c r="Y40" s="8" t="s">
        <v>38</v>
      </c>
      <c r="Z40" s="5">
        <v>89</v>
      </c>
    </row>
    <row r="41" spans="1:26">
      <c r="A41" s="23"/>
      <c r="R41" s="8" t="s">
        <v>39</v>
      </c>
      <c r="S41" s="9" t="s">
        <v>253</v>
      </c>
      <c r="U41" s="8" t="s">
        <v>38</v>
      </c>
      <c r="V41" s="8" t="s">
        <v>68</v>
      </c>
      <c r="W41" s="9" t="s">
        <v>254</v>
      </c>
      <c r="Y41" s="8" t="s">
        <v>39</v>
      </c>
      <c r="Z41" s="5">
        <v>90</v>
      </c>
    </row>
    <row r="42" spans="1:26" ht="15.75" thickBot="1">
      <c r="A42" s="23"/>
      <c r="R42" s="10" t="s">
        <v>40</v>
      </c>
      <c r="S42" s="11" t="s">
        <v>90</v>
      </c>
      <c r="U42" s="8" t="s">
        <v>39</v>
      </c>
      <c r="V42" s="8" t="s">
        <v>69</v>
      </c>
      <c r="W42" s="9" t="s">
        <v>87</v>
      </c>
      <c r="Y42" s="10" t="s">
        <v>40</v>
      </c>
      <c r="Z42" s="5">
        <v>91</v>
      </c>
    </row>
    <row r="43" spans="1:26" ht="15.75" thickBot="1">
      <c r="A43" s="23"/>
      <c r="U43" s="10" t="s">
        <v>40</v>
      </c>
      <c r="V43" s="10" t="s">
        <v>70</v>
      </c>
      <c r="W43" s="9" t="s">
        <v>255</v>
      </c>
    </row>
    <row r="44" spans="1:26">
      <c r="A44" s="23"/>
    </row>
    <row r="45" spans="1:26"/>
    <row r="46" spans="1:26"/>
    <row r="47" spans="1:26"/>
    <row r="48" spans="1:26"/>
    <row r="49"/>
    <row r="50"/>
    <row r="51"/>
    <row r="1048556" ht="12.95" hidden="1" customHeight="1"/>
    <row r="1048557" ht="6.95" hidden="1" customHeight="1"/>
    <row r="1048558" ht="3.6" hidden="1" customHeight="1"/>
    <row r="1048559" ht="4.5" hidden="1" customHeight="1"/>
  </sheetData>
  <pageMargins left="0.7" right="0.7" top="0.75" bottom="0.75" header="0.3" footer="0.3"/>
  <pageSetup orientation="portrait"/>
  <customProperties>
    <customPr name="OrphanNamesChecked" r:id="rId1"/>
  </customProperti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1:XFC14"/>
  <sheetViews>
    <sheetView showGridLines="0" showRowColHeaders="0" topLeftCell="B1" zoomScale="104" zoomScaleNormal="104" workbookViewId="0">
      <selection activeCell="XFD1" sqref="XFD1"/>
    </sheetView>
  </sheetViews>
  <sheetFormatPr baseColWidth="10" defaultColWidth="10.85546875" defaultRowHeight="15" zeroHeight="1"/>
  <cols>
    <col min="1" max="1" width="6.5703125" customWidth="1"/>
    <col min="2" max="2" width="8.5703125" customWidth="1"/>
    <col min="3" max="3" width="6.42578125" customWidth="1"/>
    <col min="4" max="4" width="9.5703125" customWidth="1"/>
    <col min="5" max="5" width="10.140625" customWidth="1"/>
    <col min="6" max="6" width="8.28515625" customWidth="1"/>
    <col min="7" max="7" width="6.42578125" customWidth="1"/>
    <col min="8" max="8" width="8.5703125" customWidth="1"/>
    <col min="9" max="9" width="5.5703125" customWidth="1"/>
    <col min="10" max="10" width="13.7109375" customWidth="1"/>
    <col min="11" max="11" width="1.42578125" customWidth="1"/>
    <col min="12" max="16382" width="10.85546875" hidden="1" customWidth="1"/>
    <col min="16383" max="16383" width="1.5703125" hidden="1" customWidth="1"/>
    <col min="16384" max="16384" width="2.5703125" customWidth="1"/>
  </cols>
  <sheetData>
    <row r="1" spans="2:10"/>
    <row r="2" spans="2:10" ht="14.45" customHeight="1">
      <c r="G2" s="312" t="str">
        <f>+"PAPELES DE TRABAJO DECLARACIÓN DE  "&amp;Admin!B4&amp;" DE INDUSTRIA Y COMERCIO MUNICIPIO DE "&amp;Admin!$B$8&amp;" DE LA COMPAÑÍA "&amp;Admin!$B$3</f>
        <v>PAPELES DE TRABAJO DECLARACIÓN DE  AUTOICA DE INDUSTRIA Y COMERCIO MUNICIPIO DE CIENAGA-MAGDALENA-47189 DE LA COMPAÑÍA GRUPO ENERGIA BOGOTÄ SA ESP</v>
      </c>
      <c r="H2" s="312"/>
      <c r="I2" s="312"/>
      <c r="J2" s="312"/>
    </row>
    <row r="3" spans="2:10">
      <c r="B3" s="22"/>
      <c r="C3" s="22"/>
      <c r="D3" s="22"/>
      <c r="E3" s="22"/>
      <c r="F3" s="95"/>
      <c r="G3" s="312"/>
      <c r="H3" s="312"/>
      <c r="I3" s="312"/>
      <c r="J3" s="312"/>
    </row>
    <row r="4" spans="2:10">
      <c r="C4" s="95"/>
      <c r="D4" s="95"/>
      <c r="E4" s="95"/>
      <c r="F4" s="95"/>
      <c r="G4" s="312"/>
      <c r="H4" s="312"/>
      <c r="I4" s="312"/>
      <c r="J4" s="312"/>
    </row>
    <row r="5" spans="2:10">
      <c r="B5" s="95"/>
      <c r="C5" s="95"/>
      <c r="D5" s="95"/>
      <c r="E5" s="95"/>
      <c r="F5" s="95"/>
      <c r="G5" s="312"/>
      <c r="H5" s="312"/>
      <c r="I5" s="312"/>
      <c r="J5" s="312"/>
    </row>
    <row r="6" spans="2:10">
      <c r="B6" s="22"/>
      <c r="C6" s="22"/>
      <c r="D6" s="22"/>
      <c r="E6" s="22"/>
      <c r="F6" s="22"/>
      <c r="G6" s="312"/>
      <c r="H6" s="312"/>
      <c r="I6" s="312"/>
      <c r="J6" s="312"/>
    </row>
    <row r="7" spans="2:10">
      <c r="B7" s="22"/>
      <c r="C7" s="22"/>
      <c r="G7" s="312"/>
      <c r="H7" s="312"/>
      <c r="I7" s="312"/>
      <c r="J7" s="312"/>
    </row>
    <row r="8" spans="2:10">
      <c r="B8" s="53"/>
      <c r="C8" s="22"/>
      <c r="D8" s="22"/>
      <c r="G8" s="313" t="str">
        <f>+Admin!B6</f>
        <v>NOVIEMBRE</v>
      </c>
      <c r="H8" s="313"/>
      <c r="I8" s="313"/>
      <c r="J8" s="313"/>
    </row>
    <row r="9" spans="2:10" ht="16.5" customHeight="1"/>
    <row r="10" spans="2:10"/>
    <row r="11" spans="2:10"/>
    <row r="12" spans="2:10"/>
    <row r="13" spans="2:10"/>
    <row r="14" spans="2:10" ht="40.5" customHeight="1"/>
  </sheetData>
  <sheetProtection algorithmName="SHA-512" hashValue="U/xqw/ZKadcgJs+x7Vk+xx8aDUulRZn4w4gNtZboQt6eC6t3WQczZXsrFdipht0YIxE8e86RK88kRgvZ8CASBA==" saltValue="5ysfk7XnAWct+1Hq1YEBIw==" spinCount="100000" sheet="1" objects="1" scenarios="1"/>
  <mergeCells count="2">
    <mergeCell ref="G2:J7"/>
    <mergeCell ref="G8:J8"/>
  </mergeCells>
  <pageMargins left="0.7" right="0.7" top="0.75" bottom="0.75" header="0.3" footer="0.3"/>
  <pageSetup paperSize="9" orientation="portrait" r:id="rId1"/>
  <customProperties>
    <customPr name="OrphanNamesChecked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XFD80"/>
  <sheetViews>
    <sheetView showGridLines="0" showRowColHeaders="0" tabSelected="1" topLeftCell="A20" zoomScale="110" zoomScaleNormal="110" zoomScaleSheetLayoutView="89" workbookViewId="0">
      <selection activeCell="E43" sqref="E43:AA43"/>
    </sheetView>
  </sheetViews>
  <sheetFormatPr baseColWidth="10" defaultColWidth="0" defaultRowHeight="15" zeroHeight="1"/>
  <cols>
    <col min="1" max="1" width="4.42578125" customWidth="1"/>
    <col min="2" max="3" width="3.140625" style="12" customWidth="1"/>
    <col min="4" max="4" width="3.85546875" style="12" customWidth="1"/>
    <col min="5" max="5" width="3.140625" style="12" customWidth="1"/>
    <col min="6" max="10" width="3.42578125" style="12" customWidth="1"/>
    <col min="11" max="11" width="8.42578125" style="12" customWidth="1"/>
    <col min="12" max="12" width="3.42578125" style="12" customWidth="1"/>
    <col min="13" max="13" width="8.28515625" style="12" customWidth="1"/>
    <col min="14" max="14" width="2.28515625" style="12" customWidth="1"/>
    <col min="15" max="20" width="3.140625" style="12" customWidth="1"/>
    <col min="21" max="21" width="3.85546875" style="12" customWidth="1"/>
    <col min="22" max="22" width="4.5703125" style="12" customWidth="1"/>
    <col min="23" max="23" width="5.140625" style="12" customWidth="1"/>
    <col min="24" max="24" width="5.5703125" style="12" customWidth="1"/>
    <col min="25" max="25" width="8.5703125" style="12" customWidth="1"/>
    <col min="26" max="26" width="3.28515625" style="12" customWidth="1"/>
    <col min="27" max="27" width="3.85546875" style="12" customWidth="1"/>
    <col min="28" max="29" width="5" style="12" customWidth="1"/>
    <col min="30" max="30" width="3.85546875" style="12" customWidth="1"/>
    <col min="31" max="32" width="5" style="12" customWidth="1"/>
    <col min="33" max="33" width="2.85546875" customWidth="1"/>
    <col min="34" max="16383" width="11.42578125" hidden="1"/>
    <col min="16384" max="16384" width="2.7109375" customWidth="1"/>
  </cols>
  <sheetData>
    <row r="1" spans="1:33 16384:16384" ht="15.75" thickBot="1">
      <c r="A1" s="22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22"/>
    </row>
    <row r="2" spans="1:33 16384:16384">
      <c r="A2" s="22"/>
      <c r="B2" s="103" t="s">
        <v>274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5"/>
      <c r="AG2" s="22"/>
    </row>
    <row r="3" spans="1:33 16384:16384">
      <c r="A3" s="22"/>
      <c r="B3" s="106" t="s">
        <v>131</v>
      </c>
      <c r="C3" s="107"/>
      <c r="D3" s="107"/>
      <c r="E3" s="107"/>
      <c r="F3" s="107"/>
      <c r="G3" s="109" t="s">
        <v>91</v>
      </c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10"/>
      <c r="Z3" s="111" t="s">
        <v>132</v>
      </c>
      <c r="AA3" s="112"/>
      <c r="AB3" s="112"/>
      <c r="AC3" s="112"/>
      <c r="AD3" s="112"/>
      <c r="AE3" s="112"/>
      <c r="AF3" s="113"/>
      <c r="AG3" s="22"/>
    </row>
    <row r="4" spans="1:33 16384:16384">
      <c r="A4" s="22"/>
      <c r="B4" s="106" t="s">
        <v>133</v>
      </c>
      <c r="C4" s="107"/>
      <c r="D4" s="107"/>
      <c r="E4" s="107"/>
      <c r="F4" s="108"/>
      <c r="G4" s="109" t="s">
        <v>88</v>
      </c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10"/>
      <c r="Z4" s="114">
        <v>46001</v>
      </c>
      <c r="AA4" s="115"/>
      <c r="AB4" s="115"/>
      <c r="AC4" s="115"/>
      <c r="AD4" s="115"/>
      <c r="AE4" s="115"/>
      <c r="AF4" s="116"/>
      <c r="AG4" s="22"/>
    </row>
    <row r="5" spans="1:33 16384:16384">
      <c r="A5" s="22"/>
      <c r="B5" s="126" t="s">
        <v>134</v>
      </c>
      <c r="C5" s="127"/>
      <c r="D5" s="127"/>
      <c r="E5" s="130">
        <v>2025</v>
      </c>
      <c r="F5" s="130"/>
      <c r="G5" s="131"/>
      <c r="H5" s="131"/>
      <c r="I5" s="24"/>
      <c r="J5" s="24"/>
      <c r="K5" s="14"/>
      <c r="L5" s="14"/>
      <c r="M5" s="14"/>
      <c r="N5" s="14"/>
      <c r="O5" s="14"/>
      <c r="P5" s="132" t="s">
        <v>224</v>
      </c>
      <c r="Q5" s="132"/>
      <c r="R5" s="132"/>
      <c r="S5" s="132"/>
      <c r="T5" s="132"/>
      <c r="U5" s="132"/>
      <c r="V5" s="132"/>
      <c r="W5" s="132"/>
      <c r="X5" s="132"/>
      <c r="Y5" s="132"/>
      <c r="Z5" s="25" t="s">
        <v>225</v>
      </c>
      <c r="AA5" s="25" t="s">
        <v>226</v>
      </c>
      <c r="AB5" s="25" t="s">
        <v>227</v>
      </c>
      <c r="AC5" s="25" t="s">
        <v>228</v>
      </c>
      <c r="AD5" s="25" t="s">
        <v>229</v>
      </c>
      <c r="AE5" s="25" t="s">
        <v>230</v>
      </c>
      <c r="AF5" s="26" t="s">
        <v>40</v>
      </c>
      <c r="AG5" s="22"/>
    </row>
    <row r="6" spans="1:33 16384:16384" ht="13.5" customHeight="1">
      <c r="A6" s="22"/>
      <c r="B6" s="128"/>
      <c r="C6" s="129"/>
      <c r="D6" s="129"/>
      <c r="E6" s="131"/>
      <c r="F6" s="131"/>
      <c r="G6" s="131"/>
      <c r="H6" s="131"/>
      <c r="I6" s="24" t="s">
        <v>23</v>
      </c>
      <c r="J6" s="24"/>
      <c r="K6" s="14"/>
      <c r="L6" s="14"/>
      <c r="M6" s="14"/>
      <c r="N6" s="14"/>
      <c r="O6" s="14"/>
      <c r="P6" s="14"/>
      <c r="Q6" s="27"/>
      <c r="R6" s="14"/>
      <c r="S6" s="28"/>
      <c r="T6" s="28"/>
      <c r="U6" s="28"/>
      <c r="V6" s="28"/>
      <c r="W6" s="28"/>
      <c r="X6" s="28"/>
      <c r="Y6" s="28"/>
      <c r="Z6" s="29" t="s">
        <v>261</v>
      </c>
      <c r="AA6" s="29" t="s">
        <v>261</v>
      </c>
      <c r="AB6" s="29" t="s">
        <v>261</v>
      </c>
      <c r="AC6" s="29" t="s">
        <v>261</v>
      </c>
      <c r="AD6" s="29" t="s">
        <v>261</v>
      </c>
      <c r="AE6" s="29" t="s">
        <v>261</v>
      </c>
      <c r="AF6" s="30" t="s">
        <v>261</v>
      </c>
      <c r="AG6" s="22"/>
    </row>
    <row r="7" spans="1:33 16384:16384" ht="19.5" customHeight="1">
      <c r="A7" s="22"/>
      <c r="B7" s="134" t="s">
        <v>135</v>
      </c>
      <c r="C7" s="135"/>
      <c r="D7" s="135"/>
      <c r="E7" s="133" t="s">
        <v>136</v>
      </c>
      <c r="F7" s="133"/>
      <c r="G7" s="133"/>
      <c r="H7" s="133"/>
      <c r="I7" s="54" t="s">
        <v>137</v>
      </c>
      <c r="J7" s="29" t="s">
        <v>138</v>
      </c>
      <c r="K7" s="31"/>
      <c r="L7" s="55"/>
      <c r="M7" s="31" t="s">
        <v>139</v>
      </c>
      <c r="N7" s="56"/>
      <c r="O7" s="55"/>
      <c r="P7" s="136" t="s">
        <v>140</v>
      </c>
      <c r="Q7" s="137"/>
      <c r="R7" s="137"/>
      <c r="S7" s="137"/>
      <c r="T7" s="137"/>
      <c r="U7" s="137"/>
      <c r="V7" s="138"/>
      <c r="W7" s="139"/>
      <c r="X7" s="140"/>
      <c r="Y7" s="140"/>
      <c r="Z7" s="141"/>
      <c r="AA7" s="123" t="s">
        <v>141</v>
      </c>
      <c r="AB7" s="124"/>
      <c r="AC7" s="125"/>
      <c r="AD7" s="57"/>
      <c r="AE7" s="58"/>
      <c r="AF7" s="59"/>
      <c r="AG7" s="22"/>
    </row>
    <row r="8" spans="1:33 16384:16384" ht="15" customHeight="1">
      <c r="A8" s="22"/>
      <c r="B8" s="142" t="s">
        <v>142</v>
      </c>
      <c r="C8" s="143"/>
      <c r="D8" s="32">
        <v>1</v>
      </c>
      <c r="E8" s="33" t="s">
        <v>143</v>
      </c>
      <c r="F8" s="60"/>
      <c r="G8" s="60"/>
      <c r="H8" s="60"/>
      <c r="I8" s="34"/>
      <c r="J8" s="60"/>
      <c r="K8" s="60"/>
      <c r="L8" s="150" t="s">
        <v>269</v>
      </c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3"/>
      <c r="AG8" s="22"/>
    </row>
    <row r="9" spans="1:33 16384:16384" ht="18" customHeight="1">
      <c r="A9" s="22"/>
      <c r="B9" s="144"/>
      <c r="C9" s="145"/>
      <c r="D9" s="32">
        <v>2</v>
      </c>
      <c r="E9" s="35" t="s">
        <v>144</v>
      </c>
      <c r="F9" s="61"/>
      <c r="G9" s="62" t="s">
        <v>31</v>
      </c>
      <c r="H9" s="61" t="s">
        <v>145</v>
      </c>
      <c r="I9" s="62" t="s">
        <v>146</v>
      </c>
      <c r="J9" s="61"/>
      <c r="K9" s="62" t="s">
        <v>147</v>
      </c>
      <c r="L9" s="61"/>
      <c r="M9" s="63" t="s">
        <v>148</v>
      </c>
      <c r="N9" s="154">
        <v>899999082</v>
      </c>
      <c r="O9" s="155"/>
      <c r="P9" s="155"/>
      <c r="Q9" s="155"/>
      <c r="R9" s="155"/>
      <c r="S9" s="156"/>
      <c r="T9" s="64" t="s">
        <v>32</v>
      </c>
      <c r="U9" s="65">
        <v>3</v>
      </c>
      <c r="V9" s="136" t="s">
        <v>149</v>
      </c>
      <c r="W9" s="137"/>
      <c r="X9" s="138"/>
      <c r="Y9" s="61"/>
      <c r="Z9" s="136" t="s">
        <v>150</v>
      </c>
      <c r="AA9" s="137"/>
      <c r="AB9" s="137"/>
      <c r="AC9" s="137"/>
      <c r="AD9" s="137"/>
      <c r="AE9" s="138"/>
      <c r="AF9" s="66"/>
      <c r="AG9" s="22"/>
    </row>
    <row r="10" spans="1:33 16384:16384">
      <c r="A10" s="22"/>
      <c r="B10" s="144"/>
      <c r="C10" s="145"/>
      <c r="D10" s="37">
        <v>3</v>
      </c>
      <c r="E10" s="67" t="s">
        <v>151</v>
      </c>
      <c r="F10" s="68"/>
      <c r="G10" s="68"/>
      <c r="H10" s="68"/>
      <c r="I10" s="68"/>
      <c r="J10" s="68"/>
      <c r="K10" s="150" t="s">
        <v>259</v>
      </c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3"/>
      <c r="AG10" s="22"/>
    </row>
    <row r="11" spans="1:33 16384:16384">
      <c r="A11" s="22"/>
      <c r="B11" s="144"/>
      <c r="C11" s="145"/>
      <c r="D11" s="38"/>
      <c r="E11" s="16" t="s">
        <v>152</v>
      </c>
      <c r="F11" s="69"/>
      <c r="G11" s="69"/>
      <c r="H11" s="69"/>
      <c r="I11" s="69"/>
      <c r="J11" s="69"/>
      <c r="K11" s="69"/>
      <c r="L11" s="69"/>
      <c r="M11" s="70"/>
      <c r="N11" s="71" t="s">
        <v>89</v>
      </c>
      <c r="O11" s="71"/>
      <c r="P11" s="71"/>
      <c r="Q11" s="71"/>
      <c r="R11" s="71"/>
      <c r="S11" s="71"/>
      <c r="T11" s="71"/>
      <c r="U11" s="72"/>
      <c r="V11" s="16" t="s">
        <v>153</v>
      </c>
      <c r="W11" s="69"/>
      <c r="X11" s="69"/>
      <c r="Y11" s="69"/>
      <c r="Z11" s="71" t="s">
        <v>89</v>
      </c>
      <c r="AA11" s="71"/>
      <c r="AB11" s="71"/>
      <c r="AC11" s="71"/>
      <c r="AD11" s="71"/>
      <c r="AE11" s="71"/>
      <c r="AF11" s="73"/>
      <c r="AG11" s="22"/>
    </row>
    <row r="12" spans="1:33 16384:16384">
      <c r="A12" s="22"/>
      <c r="B12" s="144"/>
      <c r="C12" s="145"/>
      <c r="D12" s="37">
        <v>4</v>
      </c>
      <c r="E12" s="74" t="s">
        <v>154</v>
      </c>
      <c r="F12" s="69"/>
      <c r="G12" s="69"/>
      <c r="H12" s="75"/>
      <c r="I12" s="76"/>
      <c r="J12" s="77" t="s">
        <v>155</v>
      </c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9"/>
      <c r="V12" s="74" t="s">
        <v>156</v>
      </c>
      <c r="W12" s="69"/>
      <c r="X12" s="69"/>
      <c r="Y12" s="69"/>
      <c r="Z12" s="69"/>
      <c r="AA12" s="80"/>
      <c r="AB12" s="74" t="s">
        <v>157</v>
      </c>
      <c r="AC12" s="69"/>
      <c r="AD12" s="69"/>
      <c r="AE12" s="69"/>
      <c r="AF12" s="81"/>
      <c r="AG12" s="22"/>
    </row>
    <row r="13" spans="1:33 16384:16384">
      <c r="A13" s="22"/>
      <c r="B13" s="146"/>
      <c r="C13" s="147"/>
      <c r="D13" s="38"/>
      <c r="E13" s="148">
        <v>3268000</v>
      </c>
      <c r="F13" s="149"/>
      <c r="G13" s="149"/>
      <c r="H13" s="149"/>
      <c r="I13" s="149"/>
      <c r="J13" s="82" t="s">
        <v>260</v>
      </c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4"/>
      <c r="V13" s="150">
        <v>0</v>
      </c>
      <c r="W13" s="151"/>
      <c r="X13" s="151"/>
      <c r="Y13" s="151"/>
      <c r="Z13" s="151"/>
      <c r="AA13" s="152"/>
      <c r="AB13" s="85" t="s">
        <v>158</v>
      </c>
      <c r="AC13" s="86"/>
      <c r="AD13" s="86"/>
      <c r="AE13" s="86"/>
      <c r="AF13" s="87"/>
      <c r="AG13" s="22"/>
    </row>
    <row r="14" spans="1:33 16384:16384" ht="15" customHeight="1">
      <c r="A14" s="22"/>
      <c r="B14" s="142" t="s">
        <v>159</v>
      </c>
      <c r="C14" s="143"/>
      <c r="D14" s="15">
        <v>8</v>
      </c>
      <c r="E14" s="172" t="s">
        <v>160</v>
      </c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4"/>
      <c r="AB14" s="117">
        <v>242358381000</v>
      </c>
      <c r="AC14" s="118"/>
      <c r="AD14" s="118"/>
      <c r="AE14" s="118"/>
      <c r="AF14" s="119"/>
      <c r="AG14" s="22"/>
    </row>
    <row r="15" spans="1:33 16384:16384">
      <c r="A15" s="22"/>
      <c r="B15" s="144"/>
      <c r="C15" s="145"/>
      <c r="D15" s="15">
        <v>9</v>
      </c>
      <c r="E15" s="183" t="s">
        <v>161</v>
      </c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5"/>
      <c r="AB15" s="117">
        <v>241787548000</v>
      </c>
      <c r="AC15" s="118"/>
      <c r="AD15" s="118"/>
      <c r="AE15" s="118"/>
      <c r="AF15" s="119"/>
      <c r="AG15" s="22"/>
      <c r="XFD15" s="100"/>
    </row>
    <row r="16" spans="1:33 16384:16384">
      <c r="A16" s="22"/>
      <c r="B16" s="144"/>
      <c r="C16" s="145"/>
      <c r="D16" s="15">
        <v>10</v>
      </c>
      <c r="E16" s="172" t="s">
        <v>162</v>
      </c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4"/>
      <c r="AB16" s="120">
        <v>570833000</v>
      </c>
      <c r="AC16" s="121"/>
      <c r="AD16" s="121"/>
      <c r="AE16" s="121"/>
      <c r="AF16" s="122"/>
      <c r="AG16" s="22"/>
    </row>
    <row r="17" spans="1:33 16384:16384">
      <c r="A17" s="22"/>
      <c r="B17" s="144"/>
      <c r="C17" s="145"/>
      <c r="D17" s="15">
        <v>11</v>
      </c>
      <c r="E17" s="172" t="s">
        <v>163</v>
      </c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4"/>
      <c r="AB17" s="120">
        <v>0</v>
      </c>
      <c r="AC17" s="121"/>
      <c r="AD17" s="121"/>
      <c r="AE17" s="121"/>
      <c r="AF17" s="122"/>
      <c r="AG17" s="92"/>
    </row>
    <row r="18" spans="1:33 16384:16384">
      <c r="A18" s="22"/>
      <c r="B18" s="144"/>
      <c r="C18" s="145"/>
      <c r="D18" s="15">
        <v>12</v>
      </c>
      <c r="E18" s="172" t="s">
        <v>231</v>
      </c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4"/>
      <c r="AB18" s="260">
        <v>0</v>
      </c>
      <c r="AC18" s="261"/>
      <c r="AD18" s="261"/>
      <c r="AE18" s="261"/>
      <c r="AF18" s="262"/>
      <c r="AG18" s="22"/>
    </row>
    <row r="19" spans="1:33 16384:16384">
      <c r="A19" s="22"/>
      <c r="B19" s="144"/>
      <c r="C19" s="145"/>
      <c r="D19" s="15">
        <v>13</v>
      </c>
      <c r="E19" s="172" t="s">
        <v>232</v>
      </c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4"/>
      <c r="AB19" s="169">
        <v>0</v>
      </c>
      <c r="AC19" s="170"/>
      <c r="AD19" s="170"/>
      <c r="AE19" s="170"/>
      <c r="AF19" s="171"/>
      <c r="AG19" s="22"/>
    </row>
    <row r="20" spans="1:33 16384:16384">
      <c r="A20" s="22"/>
      <c r="B20" s="144"/>
      <c r="C20" s="145"/>
      <c r="D20" s="15">
        <v>14</v>
      </c>
      <c r="E20" s="172" t="s">
        <v>233</v>
      </c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4"/>
      <c r="AB20" s="169">
        <v>0</v>
      </c>
      <c r="AC20" s="170"/>
      <c r="AD20" s="170"/>
      <c r="AE20" s="170"/>
      <c r="AF20" s="171"/>
      <c r="AG20" s="22"/>
    </row>
    <row r="21" spans="1:33 16384:16384">
      <c r="A21" s="22"/>
      <c r="B21" s="144"/>
      <c r="C21" s="145"/>
      <c r="D21" s="15">
        <v>15</v>
      </c>
      <c r="E21" s="172" t="s">
        <v>234</v>
      </c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4"/>
      <c r="AB21" s="260">
        <v>0</v>
      </c>
      <c r="AC21" s="261"/>
      <c r="AD21" s="261"/>
      <c r="AE21" s="261"/>
      <c r="AF21" s="262"/>
      <c r="AG21" s="22"/>
    </row>
    <row r="22" spans="1:33 16384:16384">
      <c r="A22" s="22"/>
      <c r="B22" s="146"/>
      <c r="C22" s="147"/>
      <c r="D22" s="15">
        <v>16</v>
      </c>
      <c r="E22" s="172" t="s">
        <v>164</v>
      </c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4"/>
      <c r="AB22" s="169">
        <v>570833000</v>
      </c>
      <c r="AC22" s="170"/>
      <c r="AD22" s="170"/>
      <c r="AE22" s="170"/>
      <c r="AF22" s="171"/>
      <c r="AG22" s="22"/>
      <c r="XFD22" s="101">
        <f>+AB16-AB19-AB20-AB22</f>
        <v>0</v>
      </c>
    </row>
    <row r="23" spans="1:33 16384:16384" ht="15" customHeight="1">
      <c r="A23" s="22"/>
      <c r="B23" s="142" t="s">
        <v>165</v>
      </c>
      <c r="C23" s="143"/>
      <c r="D23" s="39" t="s">
        <v>166</v>
      </c>
      <c r="E23" s="40"/>
      <c r="F23" s="40"/>
      <c r="G23" s="40"/>
      <c r="H23" s="40"/>
      <c r="I23" s="40"/>
      <c r="J23" s="41"/>
      <c r="K23" s="39" t="s">
        <v>167</v>
      </c>
      <c r="L23" s="40"/>
      <c r="M23" s="40"/>
      <c r="N23" s="41"/>
      <c r="O23" s="39" t="s">
        <v>168</v>
      </c>
      <c r="P23" s="40"/>
      <c r="Q23" s="40"/>
      <c r="R23" s="40"/>
      <c r="S23" s="40"/>
      <c r="T23" s="40"/>
      <c r="U23" s="40"/>
      <c r="V23" s="41"/>
      <c r="W23" s="39" t="s">
        <v>169</v>
      </c>
      <c r="X23" s="40"/>
      <c r="Y23" s="40"/>
      <c r="Z23" s="40"/>
      <c r="AA23" s="41"/>
      <c r="AB23" s="257" t="s">
        <v>33</v>
      </c>
      <c r="AC23" s="258"/>
      <c r="AD23" s="258"/>
      <c r="AE23" s="258"/>
      <c r="AF23" s="259"/>
      <c r="AG23" s="22"/>
    </row>
    <row r="24" spans="1:33 16384:16384">
      <c r="A24" s="22"/>
      <c r="B24" s="144"/>
      <c r="C24" s="145"/>
      <c r="D24" s="181" t="s">
        <v>170</v>
      </c>
      <c r="E24" s="182"/>
      <c r="F24" s="182"/>
      <c r="G24" s="182"/>
      <c r="H24" s="182"/>
      <c r="I24" s="182"/>
      <c r="J24" s="263"/>
      <c r="K24" s="245">
        <v>304</v>
      </c>
      <c r="L24" s="246"/>
      <c r="M24" s="246"/>
      <c r="N24" s="247"/>
      <c r="O24" s="236">
        <v>568344000</v>
      </c>
      <c r="P24" s="237"/>
      <c r="Q24" s="237"/>
      <c r="R24" s="237"/>
      <c r="S24" s="237"/>
      <c r="T24" s="237"/>
      <c r="U24" s="237"/>
      <c r="V24" s="238"/>
      <c r="W24" s="239" t="s">
        <v>275</v>
      </c>
      <c r="X24" s="240"/>
      <c r="Y24" s="240"/>
      <c r="Z24" s="240"/>
      <c r="AA24" s="241"/>
      <c r="AB24" s="254">
        <v>5115000</v>
      </c>
      <c r="AC24" s="255"/>
      <c r="AD24" s="255"/>
      <c r="AE24" s="255"/>
      <c r="AF24" s="256"/>
      <c r="AG24">
        <v>0</v>
      </c>
    </row>
    <row r="25" spans="1:33 16384:16384">
      <c r="A25" s="22"/>
      <c r="B25" s="144"/>
      <c r="C25" s="145"/>
      <c r="D25" s="181" t="s">
        <v>171</v>
      </c>
      <c r="E25" s="182"/>
      <c r="F25" s="182"/>
      <c r="G25" s="182"/>
      <c r="H25" s="182"/>
      <c r="I25" s="182"/>
      <c r="J25" s="263"/>
      <c r="K25" s="245">
        <v>304</v>
      </c>
      <c r="L25" s="246"/>
      <c r="M25" s="246"/>
      <c r="N25" s="247"/>
      <c r="O25" s="236">
        <v>0</v>
      </c>
      <c r="P25" s="237"/>
      <c r="Q25" s="237"/>
      <c r="R25" s="237"/>
      <c r="S25" s="237"/>
      <c r="T25" s="237"/>
      <c r="U25" s="237"/>
      <c r="V25" s="238"/>
      <c r="W25" s="239" t="s">
        <v>275</v>
      </c>
      <c r="X25" s="240"/>
      <c r="Y25" s="240"/>
      <c r="Z25" s="240"/>
      <c r="AA25" s="241"/>
      <c r="AB25" s="254">
        <v>0</v>
      </c>
      <c r="AC25" s="255"/>
      <c r="AD25" s="255"/>
      <c r="AE25" s="255"/>
      <c r="AF25" s="256"/>
      <c r="AG25" s="22"/>
    </row>
    <row r="26" spans="1:33 16384:16384">
      <c r="A26" s="22"/>
      <c r="B26" s="144"/>
      <c r="C26" s="145"/>
      <c r="D26" s="181" t="s">
        <v>172</v>
      </c>
      <c r="E26" s="182"/>
      <c r="F26" s="182"/>
      <c r="G26" s="182"/>
      <c r="H26" s="182"/>
      <c r="I26" s="182"/>
      <c r="J26" s="263"/>
      <c r="K26" s="245">
        <v>202</v>
      </c>
      <c r="L26" s="246"/>
      <c r="M26" s="246"/>
      <c r="N26" s="247"/>
      <c r="O26" s="236">
        <v>2488000</v>
      </c>
      <c r="P26" s="237"/>
      <c r="Q26" s="237"/>
      <c r="R26" s="237"/>
      <c r="S26" s="237"/>
      <c r="T26" s="237"/>
      <c r="U26" s="237"/>
      <c r="V26" s="238"/>
      <c r="W26" s="239" t="s">
        <v>276</v>
      </c>
      <c r="X26" s="240"/>
      <c r="Y26" s="240"/>
      <c r="Z26" s="240"/>
      <c r="AA26" s="241"/>
      <c r="AB26" s="254">
        <v>17000</v>
      </c>
      <c r="AC26" s="255"/>
      <c r="AD26" s="255"/>
      <c r="AE26" s="255"/>
      <c r="AF26" s="256"/>
      <c r="AG26" s="22"/>
    </row>
    <row r="27" spans="1:33 16384:16384">
      <c r="A27" s="22"/>
      <c r="B27" s="144"/>
      <c r="C27" s="145"/>
      <c r="D27" s="181" t="s">
        <v>173</v>
      </c>
      <c r="E27" s="182"/>
      <c r="F27" s="182"/>
      <c r="G27" s="182"/>
      <c r="H27" s="182"/>
      <c r="I27" s="182"/>
      <c r="J27" s="263"/>
      <c r="K27" s="33" t="s">
        <v>174</v>
      </c>
      <c r="L27" s="34"/>
      <c r="M27" s="34"/>
      <c r="N27" s="42"/>
      <c r="O27" s="269">
        <v>0</v>
      </c>
      <c r="P27" s="270"/>
      <c r="Q27" s="270"/>
      <c r="R27" s="270"/>
      <c r="S27" s="270"/>
      <c r="T27" s="270"/>
      <c r="U27" s="270"/>
      <c r="V27" s="271"/>
      <c r="W27" s="239"/>
      <c r="X27" s="240"/>
      <c r="Y27" s="240"/>
      <c r="Z27" s="240"/>
      <c r="AA27" s="241"/>
      <c r="AB27" s="254">
        <v>0</v>
      </c>
      <c r="AC27" s="255"/>
      <c r="AD27" s="255"/>
      <c r="AE27" s="255"/>
      <c r="AF27" s="256"/>
      <c r="AG27" s="22"/>
    </row>
    <row r="28" spans="1:33 16384:16384">
      <c r="A28" s="22"/>
      <c r="B28" s="146"/>
      <c r="C28" s="147"/>
      <c r="D28" s="181" t="s">
        <v>175</v>
      </c>
      <c r="E28" s="182"/>
      <c r="F28" s="182"/>
      <c r="G28" s="182"/>
      <c r="H28" s="182"/>
      <c r="I28" s="182"/>
      <c r="J28" s="13"/>
      <c r="K28" s="17"/>
      <c r="L28" s="17"/>
      <c r="M28" s="17"/>
      <c r="N28" s="19"/>
      <c r="O28" s="269">
        <v>570832000</v>
      </c>
      <c r="P28" s="270"/>
      <c r="Q28" s="270"/>
      <c r="R28" s="270"/>
      <c r="S28" s="270"/>
      <c r="T28" s="270"/>
      <c r="U28" s="270"/>
      <c r="V28" s="271"/>
      <c r="W28" s="181" t="s">
        <v>176</v>
      </c>
      <c r="X28" s="182"/>
      <c r="Y28" s="182"/>
      <c r="Z28" s="182"/>
      <c r="AA28" s="263"/>
      <c r="AB28" s="254">
        <v>5132000</v>
      </c>
      <c r="AC28" s="255"/>
      <c r="AD28" s="255"/>
      <c r="AE28" s="255"/>
      <c r="AF28" s="256"/>
      <c r="AG28" s="22"/>
    </row>
    <row r="29" spans="1:33 16384:16384" s="14" customFormat="1" ht="15.75" customHeight="1">
      <c r="B29" s="264"/>
      <c r="C29" s="265"/>
      <c r="D29" s="15">
        <v>18</v>
      </c>
      <c r="E29" s="16" t="s">
        <v>235</v>
      </c>
      <c r="F29" s="13"/>
      <c r="G29" s="13"/>
      <c r="H29" s="13"/>
      <c r="I29" s="13"/>
      <c r="J29" s="13"/>
      <c r="K29" s="17"/>
      <c r="L29" s="17"/>
      <c r="M29" s="13" t="s">
        <v>236</v>
      </c>
      <c r="N29" s="17"/>
      <c r="O29" s="17"/>
      <c r="P29" s="17"/>
      <c r="Q29" s="17"/>
      <c r="R29" s="18"/>
      <c r="S29" s="17"/>
      <c r="T29" s="17"/>
      <c r="U29" s="17"/>
      <c r="V29" s="19" t="s">
        <v>237</v>
      </c>
      <c r="W29" s="16" t="s">
        <v>238</v>
      </c>
      <c r="X29" s="13"/>
      <c r="Y29" s="13"/>
      <c r="Z29" s="13"/>
      <c r="AA29" s="20"/>
      <c r="AB29" s="293">
        <v>0</v>
      </c>
      <c r="AC29" s="294"/>
      <c r="AD29" s="294"/>
      <c r="AE29" s="294"/>
      <c r="AF29" s="295"/>
    </row>
    <row r="30" spans="1:33 16384:16384" ht="15" customHeight="1">
      <c r="A30" s="22"/>
      <c r="B30" s="142" t="s">
        <v>177</v>
      </c>
      <c r="C30" s="143"/>
      <c r="D30" s="15">
        <v>20</v>
      </c>
      <c r="E30" s="172" t="s">
        <v>178</v>
      </c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4"/>
      <c r="AB30" s="251">
        <v>5132000</v>
      </c>
      <c r="AC30" s="252"/>
      <c r="AD30" s="252"/>
      <c r="AE30" s="252"/>
      <c r="AF30" s="253"/>
      <c r="AG30" s="22"/>
    </row>
    <row r="31" spans="1:33 16384:16384">
      <c r="A31" s="22"/>
      <c r="B31" s="144"/>
      <c r="C31" s="145"/>
      <c r="D31" s="15">
        <v>21</v>
      </c>
      <c r="E31" s="172" t="s">
        <v>179</v>
      </c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>
        <v>0.15</v>
      </c>
      <c r="S31" s="173"/>
      <c r="T31" s="173"/>
      <c r="U31" s="173"/>
      <c r="V31" s="173"/>
      <c r="W31" s="173"/>
      <c r="X31" s="173"/>
      <c r="Y31" s="173"/>
      <c r="Z31" s="173"/>
      <c r="AA31" s="174"/>
      <c r="AB31" s="166">
        <v>0</v>
      </c>
      <c r="AC31" s="167"/>
      <c r="AD31" s="167"/>
      <c r="AE31" s="167"/>
      <c r="AF31" s="168"/>
      <c r="AG31" s="22"/>
    </row>
    <row r="32" spans="1:33 16384:16384">
      <c r="A32" s="22"/>
      <c r="B32" s="144"/>
      <c r="C32" s="145"/>
      <c r="D32" s="15">
        <v>22</v>
      </c>
      <c r="E32" s="172" t="s">
        <v>240</v>
      </c>
      <c r="F32" s="173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4"/>
      <c r="AB32" s="166">
        <v>0</v>
      </c>
      <c r="AC32" s="167"/>
      <c r="AD32" s="167"/>
      <c r="AE32" s="167"/>
      <c r="AF32" s="168"/>
      <c r="AG32" s="22"/>
    </row>
    <row r="33" spans="1:33">
      <c r="A33" s="22"/>
      <c r="B33" s="144"/>
      <c r="C33" s="145"/>
      <c r="D33" s="15">
        <v>23</v>
      </c>
      <c r="E33" s="172" t="s">
        <v>180</v>
      </c>
      <c r="F33" s="173"/>
      <c r="G33" s="173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4"/>
      <c r="AB33" s="166">
        <v>359000</v>
      </c>
      <c r="AC33" s="167"/>
      <c r="AD33" s="167"/>
      <c r="AE33" s="167"/>
      <c r="AF33" s="168"/>
      <c r="AG33" s="22"/>
    </row>
    <row r="34" spans="1:33">
      <c r="A34" s="22"/>
      <c r="B34" s="144"/>
      <c r="C34" s="145"/>
      <c r="D34" s="15">
        <v>24</v>
      </c>
      <c r="E34" s="172" t="s">
        <v>239</v>
      </c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3"/>
      <c r="AA34" s="174"/>
      <c r="AB34" s="166">
        <v>0</v>
      </c>
      <c r="AC34" s="167"/>
      <c r="AD34" s="167"/>
      <c r="AE34" s="167"/>
      <c r="AF34" s="168"/>
      <c r="AG34" s="22"/>
    </row>
    <row r="35" spans="1:33">
      <c r="A35" s="22"/>
      <c r="B35" s="144"/>
      <c r="C35" s="145"/>
      <c r="D35" s="15">
        <v>25</v>
      </c>
      <c r="E35" s="172" t="s">
        <v>241</v>
      </c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4"/>
      <c r="AB35" s="169">
        <v>5491000</v>
      </c>
      <c r="AC35" s="170"/>
      <c r="AD35" s="170"/>
      <c r="AE35" s="170"/>
      <c r="AF35" s="171"/>
      <c r="AG35" s="22"/>
    </row>
    <row r="36" spans="1:33">
      <c r="A36" s="22"/>
      <c r="B36" s="144"/>
      <c r="C36" s="145"/>
      <c r="D36" s="15">
        <v>26</v>
      </c>
      <c r="E36" s="172" t="s">
        <v>242</v>
      </c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4"/>
      <c r="AB36" s="166">
        <v>0</v>
      </c>
      <c r="AC36" s="167"/>
      <c r="AD36" s="167"/>
      <c r="AE36" s="167"/>
      <c r="AF36" s="168"/>
      <c r="AG36" s="22"/>
    </row>
    <row r="37" spans="1:33">
      <c r="A37" s="22"/>
      <c r="B37" s="144"/>
      <c r="C37" s="145"/>
      <c r="D37" s="15">
        <v>27</v>
      </c>
      <c r="E37" s="172" t="s">
        <v>243</v>
      </c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4"/>
      <c r="AB37" s="290">
        <v>0</v>
      </c>
      <c r="AC37" s="291"/>
      <c r="AD37" s="291"/>
      <c r="AE37" s="291"/>
      <c r="AF37" s="292"/>
      <c r="AG37" s="22"/>
    </row>
    <row r="38" spans="1:33">
      <c r="A38" s="22"/>
      <c r="B38" s="144"/>
      <c r="C38" s="145"/>
      <c r="D38" s="15">
        <v>28</v>
      </c>
      <c r="E38" s="172" t="s">
        <v>244</v>
      </c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4"/>
      <c r="AB38" s="166">
        <v>0</v>
      </c>
      <c r="AC38" s="167"/>
      <c r="AD38" s="167"/>
      <c r="AE38" s="167"/>
      <c r="AF38" s="168"/>
      <c r="AG38" s="22"/>
    </row>
    <row r="39" spans="1:33">
      <c r="A39" s="22"/>
      <c r="B39" s="144"/>
      <c r="C39" s="145"/>
      <c r="D39" s="15">
        <v>29</v>
      </c>
      <c r="E39" s="172" t="s">
        <v>245</v>
      </c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4"/>
      <c r="AB39" s="166">
        <v>0</v>
      </c>
      <c r="AC39" s="167"/>
      <c r="AD39" s="167"/>
      <c r="AE39" s="167"/>
      <c r="AF39" s="168"/>
      <c r="AG39" s="22"/>
    </row>
    <row r="40" spans="1:33">
      <c r="A40" s="22"/>
      <c r="B40" s="144"/>
      <c r="C40" s="145"/>
      <c r="D40" s="15">
        <v>30</v>
      </c>
      <c r="E40" s="172" t="s">
        <v>181</v>
      </c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4"/>
      <c r="AB40" s="166">
        <v>0</v>
      </c>
      <c r="AC40" s="167"/>
      <c r="AD40" s="167"/>
      <c r="AE40" s="167"/>
      <c r="AF40" s="168"/>
      <c r="AG40" s="22"/>
    </row>
    <row r="41" spans="1:33">
      <c r="A41" s="22"/>
      <c r="B41" s="144"/>
      <c r="C41" s="145"/>
      <c r="D41" s="15">
        <v>31</v>
      </c>
      <c r="E41" s="181" t="s">
        <v>182</v>
      </c>
      <c r="F41" s="182"/>
      <c r="G41" s="182"/>
      <c r="H41" s="182" t="s">
        <v>183</v>
      </c>
      <c r="I41" s="182"/>
      <c r="J41" s="182"/>
      <c r="K41" s="263"/>
      <c r="L41" s="36" t="s">
        <v>261</v>
      </c>
      <c r="M41" s="181" t="s">
        <v>184</v>
      </c>
      <c r="N41" s="263"/>
      <c r="O41" s="36" t="s">
        <v>261</v>
      </c>
      <c r="P41" s="181" t="s">
        <v>185</v>
      </c>
      <c r="Q41" s="182"/>
      <c r="R41" s="263"/>
      <c r="S41" s="36"/>
      <c r="T41" s="13" t="s">
        <v>186</v>
      </c>
      <c r="U41" s="31"/>
      <c r="V41" s="36"/>
      <c r="W41" s="13" t="s">
        <v>187</v>
      </c>
      <c r="X41" s="266"/>
      <c r="Y41" s="267"/>
      <c r="Z41" s="267"/>
      <c r="AA41" s="268"/>
      <c r="AB41" s="166">
        <v>0</v>
      </c>
      <c r="AC41" s="167"/>
      <c r="AD41" s="167"/>
      <c r="AE41" s="167"/>
      <c r="AF41" s="168"/>
      <c r="AG41" s="22"/>
    </row>
    <row r="42" spans="1:33">
      <c r="A42" s="22"/>
      <c r="B42" s="144"/>
      <c r="C42" s="145"/>
      <c r="D42" s="15">
        <v>32</v>
      </c>
      <c r="E42" s="172" t="s">
        <v>188</v>
      </c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4"/>
      <c r="AB42" s="166">
        <v>0</v>
      </c>
      <c r="AC42" s="167"/>
      <c r="AD42" s="167"/>
      <c r="AE42" s="167"/>
      <c r="AF42" s="168"/>
      <c r="AG42" s="22"/>
    </row>
    <row r="43" spans="1:33">
      <c r="A43" s="22"/>
      <c r="B43" s="144"/>
      <c r="C43" s="145"/>
      <c r="D43" s="15">
        <v>33</v>
      </c>
      <c r="E43" s="172" t="s">
        <v>189</v>
      </c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4"/>
      <c r="AB43" s="166">
        <v>5491000</v>
      </c>
      <c r="AC43" s="167"/>
      <c r="AD43" s="167"/>
      <c r="AE43" s="167"/>
      <c r="AF43" s="168"/>
      <c r="AG43" s="22"/>
    </row>
    <row r="44" spans="1:33">
      <c r="A44" s="22"/>
      <c r="B44" s="146"/>
      <c r="C44" s="147"/>
      <c r="D44" s="15">
        <v>34</v>
      </c>
      <c r="E44" s="172" t="s">
        <v>190</v>
      </c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4"/>
      <c r="AB44" s="166">
        <v>0</v>
      </c>
      <c r="AC44" s="167"/>
      <c r="AD44" s="167"/>
      <c r="AE44" s="167"/>
      <c r="AF44" s="168"/>
      <c r="AG44" s="22"/>
    </row>
    <row r="45" spans="1:33" ht="15" customHeight="1">
      <c r="A45" s="22"/>
      <c r="B45" s="142" t="s">
        <v>191</v>
      </c>
      <c r="C45" s="143"/>
      <c r="D45" s="15">
        <v>35</v>
      </c>
      <c r="E45" s="172" t="s">
        <v>192</v>
      </c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4"/>
      <c r="AB45" s="169">
        <v>5491000</v>
      </c>
      <c r="AC45" s="170"/>
      <c r="AD45" s="170"/>
      <c r="AE45" s="170"/>
      <c r="AF45" s="171"/>
      <c r="AG45" s="22"/>
    </row>
    <row r="46" spans="1:33">
      <c r="A46" s="22"/>
      <c r="B46" s="144"/>
      <c r="C46" s="145"/>
      <c r="D46" s="15">
        <v>36</v>
      </c>
      <c r="E46" s="172" t="s">
        <v>193</v>
      </c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4"/>
      <c r="Z46" s="298">
        <v>0</v>
      </c>
      <c r="AA46" s="298"/>
      <c r="AB46" s="166">
        <v>0</v>
      </c>
      <c r="AC46" s="167"/>
      <c r="AD46" s="167"/>
      <c r="AE46" s="167"/>
      <c r="AF46" s="168"/>
      <c r="AG46" s="22"/>
    </row>
    <row r="47" spans="1:33">
      <c r="A47" s="22"/>
      <c r="B47" s="144"/>
      <c r="C47" s="145"/>
      <c r="D47" s="15">
        <v>37</v>
      </c>
      <c r="E47" s="172" t="s">
        <v>194</v>
      </c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74"/>
      <c r="AB47" s="166">
        <v>0</v>
      </c>
      <c r="AC47" s="167"/>
      <c r="AD47" s="167"/>
      <c r="AE47" s="167"/>
      <c r="AF47" s="168"/>
      <c r="AG47" s="22"/>
    </row>
    <row r="48" spans="1:33">
      <c r="A48" s="22"/>
      <c r="B48" s="146"/>
      <c r="C48" s="147"/>
      <c r="D48" s="37">
        <v>38</v>
      </c>
      <c r="E48" s="175" t="s">
        <v>195</v>
      </c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  <c r="AA48" s="177"/>
      <c r="AB48" s="166">
        <v>5491000</v>
      </c>
      <c r="AC48" s="167"/>
      <c r="AD48" s="167"/>
      <c r="AE48" s="167"/>
      <c r="AF48" s="168"/>
      <c r="AG48" s="22"/>
    </row>
    <row r="49" spans="1:33" ht="15" customHeight="1">
      <c r="A49" s="22"/>
      <c r="B49" s="157" t="s">
        <v>196</v>
      </c>
      <c r="C49" s="158"/>
      <c r="D49" s="158"/>
      <c r="E49" s="158"/>
      <c r="F49" s="158"/>
      <c r="G49" s="159"/>
      <c r="H49" s="15">
        <v>39</v>
      </c>
      <c r="I49" s="172" t="s">
        <v>197</v>
      </c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4"/>
      <c r="AB49" s="166">
        <v>0</v>
      </c>
      <c r="AC49" s="167"/>
      <c r="AD49" s="167"/>
      <c r="AE49" s="167"/>
      <c r="AF49" s="168"/>
      <c r="AG49" s="22"/>
    </row>
    <row r="50" spans="1:33">
      <c r="A50" s="22"/>
      <c r="B50" s="160"/>
      <c r="C50" s="161"/>
      <c r="D50" s="161"/>
      <c r="E50" s="161"/>
      <c r="F50" s="161"/>
      <c r="G50" s="162"/>
      <c r="H50" s="15">
        <v>40</v>
      </c>
      <c r="I50" s="172" t="s">
        <v>198</v>
      </c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4"/>
      <c r="AB50" s="169">
        <v>5491000</v>
      </c>
      <c r="AC50" s="170"/>
      <c r="AD50" s="170"/>
      <c r="AE50" s="170"/>
      <c r="AF50" s="171"/>
      <c r="AG50" s="22"/>
    </row>
    <row r="51" spans="1:33">
      <c r="A51" s="22"/>
      <c r="B51" s="163"/>
      <c r="C51" s="164"/>
      <c r="D51" s="164"/>
      <c r="E51" s="164"/>
      <c r="F51" s="164"/>
      <c r="G51" s="165"/>
      <c r="H51" s="178" t="s">
        <v>199</v>
      </c>
      <c r="I51" s="178"/>
      <c r="J51" s="178"/>
      <c r="K51" s="178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9"/>
      <c r="Y51" s="173"/>
      <c r="Z51" s="173"/>
      <c r="AA51" s="173"/>
      <c r="AB51" s="173"/>
      <c r="AC51" s="173"/>
      <c r="AD51" s="173"/>
      <c r="AE51" s="173"/>
      <c r="AF51" s="180"/>
      <c r="AG51" s="22"/>
    </row>
    <row r="52" spans="1:33" ht="15" customHeight="1">
      <c r="A52" s="22"/>
      <c r="B52" s="144" t="s">
        <v>200</v>
      </c>
      <c r="C52" s="145"/>
      <c r="D52" s="172" t="s">
        <v>201</v>
      </c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4"/>
      <c r="S52" s="299" t="s">
        <v>202</v>
      </c>
      <c r="T52" s="300"/>
      <c r="U52" s="300"/>
      <c r="V52" s="300"/>
      <c r="W52" s="300"/>
      <c r="X52" s="43"/>
      <c r="Y52" s="179" t="s">
        <v>203</v>
      </c>
      <c r="Z52" s="179"/>
      <c r="AA52" s="179"/>
      <c r="AB52" s="179"/>
      <c r="AC52" s="308"/>
      <c r="AD52" s="311" t="s">
        <v>145</v>
      </c>
      <c r="AE52" s="311"/>
      <c r="AF52" s="44"/>
      <c r="AG52" s="22"/>
    </row>
    <row r="53" spans="1:33" ht="15" customHeight="1">
      <c r="A53" s="22"/>
      <c r="B53" s="144"/>
      <c r="C53" s="145"/>
      <c r="D53" s="299"/>
      <c r="E53" s="300"/>
      <c r="F53" s="300"/>
      <c r="G53" s="300"/>
      <c r="H53" s="300"/>
      <c r="I53" s="300"/>
      <c r="J53" s="300"/>
      <c r="K53" s="300"/>
      <c r="L53" s="300"/>
      <c r="M53" s="300"/>
      <c r="N53" s="300"/>
      <c r="O53" s="300"/>
      <c r="P53" s="300"/>
      <c r="Q53" s="300"/>
      <c r="R53" s="301"/>
      <c r="S53" s="309"/>
      <c r="T53" s="309"/>
      <c r="U53" s="309"/>
      <c r="V53" s="309"/>
      <c r="W53" s="309"/>
      <c r="X53" s="309"/>
      <c r="Y53" s="309"/>
      <c r="Z53" s="309"/>
      <c r="AA53" s="309"/>
      <c r="AB53" s="309"/>
      <c r="AC53" s="309"/>
      <c r="AD53" s="309"/>
      <c r="AE53" s="309"/>
      <c r="AF53" s="310"/>
      <c r="AG53" s="22"/>
    </row>
    <row r="54" spans="1:33" ht="15" customHeight="1">
      <c r="A54" s="22"/>
      <c r="B54" s="144"/>
      <c r="C54" s="145"/>
      <c r="D54" s="302"/>
      <c r="E54" s="303"/>
      <c r="F54" s="303"/>
      <c r="G54" s="303"/>
      <c r="H54" s="303"/>
      <c r="I54" s="303"/>
      <c r="J54" s="303"/>
      <c r="K54" s="303"/>
      <c r="L54" s="303"/>
      <c r="M54" s="303"/>
      <c r="N54" s="303"/>
      <c r="O54" s="303"/>
      <c r="P54" s="303"/>
      <c r="Q54" s="303"/>
      <c r="R54" s="304"/>
      <c r="S54" s="309"/>
      <c r="T54" s="309"/>
      <c r="U54" s="309"/>
      <c r="V54" s="309"/>
      <c r="W54" s="309"/>
      <c r="X54" s="309"/>
      <c r="Y54" s="309"/>
      <c r="Z54" s="309"/>
      <c r="AA54" s="309"/>
      <c r="AB54" s="309"/>
      <c r="AC54" s="309"/>
      <c r="AD54" s="309"/>
      <c r="AE54" s="309"/>
      <c r="AF54" s="310"/>
      <c r="AG54" s="22"/>
    </row>
    <row r="55" spans="1:33">
      <c r="A55" s="22"/>
      <c r="B55" s="144"/>
      <c r="C55" s="145"/>
      <c r="D55" s="305"/>
      <c r="E55" s="306"/>
      <c r="F55" s="306"/>
      <c r="G55" s="306"/>
      <c r="H55" s="306"/>
      <c r="I55" s="306"/>
      <c r="J55" s="306"/>
      <c r="K55" s="306"/>
      <c r="L55" s="306"/>
      <c r="M55" s="306"/>
      <c r="N55" s="306"/>
      <c r="O55" s="306"/>
      <c r="P55" s="306"/>
      <c r="Q55" s="306"/>
      <c r="R55" s="307"/>
      <c r="S55" s="309"/>
      <c r="T55" s="309"/>
      <c r="U55" s="309"/>
      <c r="V55" s="309"/>
      <c r="W55" s="309"/>
      <c r="X55" s="309"/>
      <c r="Y55" s="309"/>
      <c r="Z55" s="309"/>
      <c r="AA55" s="309"/>
      <c r="AB55" s="309"/>
      <c r="AC55" s="309"/>
      <c r="AD55" s="309"/>
      <c r="AE55" s="309"/>
      <c r="AF55" s="310"/>
      <c r="AG55" s="22"/>
    </row>
    <row r="56" spans="1:33">
      <c r="A56" s="22"/>
      <c r="B56" s="144"/>
      <c r="C56" s="145"/>
      <c r="D56" s="272" t="s">
        <v>204</v>
      </c>
      <c r="E56" s="273"/>
      <c r="F56" s="274" t="s">
        <v>248</v>
      </c>
      <c r="G56" s="274" t="s">
        <v>248</v>
      </c>
      <c r="H56" s="274" t="s">
        <v>248</v>
      </c>
      <c r="I56" s="274" t="s">
        <v>248</v>
      </c>
      <c r="J56" s="274" t="s">
        <v>248</v>
      </c>
      <c r="K56" s="274" t="s">
        <v>248</v>
      </c>
      <c r="L56" s="274" t="s">
        <v>248</v>
      </c>
      <c r="M56" s="274" t="s">
        <v>248</v>
      </c>
      <c r="N56" s="274" t="s">
        <v>248</v>
      </c>
      <c r="O56" s="274" t="s">
        <v>248</v>
      </c>
      <c r="P56" s="274" t="s">
        <v>248</v>
      </c>
      <c r="Q56" s="274" t="s">
        <v>248</v>
      </c>
      <c r="R56" s="275" t="s">
        <v>248</v>
      </c>
      <c r="S56" s="272" t="s">
        <v>204</v>
      </c>
      <c r="T56" s="273"/>
      <c r="U56" s="274" t="s">
        <v>262</v>
      </c>
      <c r="V56" s="274"/>
      <c r="W56" s="274"/>
      <c r="X56" s="274"/>
      <c r="Y56" s="274"/>
      <c r="Z56" s="274"/>
      <c r="AA56" s="274"/>
      <c r="AB56" s="274"/>
      <c r="AC56" s="274"/>
      <c r="AD56" s="274"/>
      <c r="AE56" s="274"/>
      <c r="AF56" s="276"/>
      <c r="AG56" s="22"/>
    </row>
    <row r="57" spans="1:33">
      <c r="A57" s="22"/>
      <c r="B57" s="146"/>
      <c r="C57" s="147"/>
      <c r="D57" s="35" t="s">
        <v>144</v>
      </c>
      <c r="E57" s="45" t="s">
        <v>137</v>
      </c>
      <c r="F57" s="62" t="s">
        <v>147</v>
      </c>
      <c r="G57" s="88"/>
      <c r="H57" s="62" t="s">
        <v>146</v>
      </c>
      <c r="I57" s="88"/>
      <c r="J57" s="13" t="s">
        <v>205</v>
      </c>
      <c r="K57" s="277">
        <v>71695188</v>
      </c>
      <c r="L57" s="277"/>
      <c r="M57" s="277"/>
      <c r="N57" s="277"/>
      <c r="O57" s="277"/>
      <c r="P57" s="277"/>
      <c r="Q57" s="277"/>
      <c r="R57" s="277"/>
      <c r="S57" s="35" t="s">
        <v>144</v>
      </c>
      <c r="T57" s="88" t="s">
        <v>145</v>
      </c>
      <c r="U57" s="181" t="s">
        <v>147</v>
      </c>
      <c r="V57" s="263"/>
      <c r="W57" s="13" t="s">
        <v>246</v>
      </c>
      <c r="X57" s="277">
        <v>1026258554</v>
      </c>
      <c r="Y57" s="277"/>
      <c r="Z57" s="277"/>
      <c r="AA57" s="277"/>
      <c r="AB57" s="277"/>
      <c r="AC57" s="277"/>
      <c r="AD57" s="277"/>
      <c r="AE57" s="277"/>
      <c r="AF57" s="89"/>
      <c r="AG57" s="22"/>
    </row>
    <row r="58" spans="1:33">
      <c r="A58" s="22"/>
      <c r="B58" s="46"/>
      <c r="C58" s="47"/>
      <c r="D58" s="48"/>
      <c r="E58" s="49"/>
      <c r="F58" s="48"/>
      <c r="G58" s="49"/>
      <c r="H58" s="48"/>
      <c r="I58" s="49"/>
      <c r="J58" s="48"/>
      <c r="K58" s="48"/>
      <c r="L58" s="48"/>
      <c r="M58" s="48"/>
      <c r="N58" s="48"/>
      <c r="O58" s="48"/>
      <c r="P58" s="48"/>
      <c r="Q58" s="48"/>
      <c r="R58" s="90"/>
      <c r="S58" s="91"/>
      <c r="T58" s="49"/>
      <c r="U58" s="48"/>
      <c r="V58" s="49"/>
      <c r="W58" s="13" t="s">
        <v>247</v>
      </c>
      <c r="X58" s="296" t="s">
        <v>263</v>
      </c>
      <c r="Y58" s="296"/>
      <c r="Z58" s="296"/>
      <c r="AA58" s="296"/>
      <c r="AB58" s="296"/>
      <c r="AC58" s="296"/>
      <c r="AD58" s="296"/>
      <c r="AE58" s="296"/>
      <c r="AF58" s="297"/>
      <c r="AG58" s="22"/>
    </row>
    <row r="59" spans="1:33" ht="15" customHeight="1">
      <c r="A59" s="22"/>
      <c r="B59" s="194" t="s">
        <v>206</v>
      </c>
      <c r="C59" s="195"/>
      <c r="D59" s="195"/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6"/>
      <c r="S59" s="203" t="s">
        <v>207</v>
      </c>
      <c r="T59" s="204"/>
      <c r="U59" s="204"/>
      <c r="V59" s="204"/>
      <c r="W59" s="204"/>
      <c r="X59" s="204"/>
      <c r="Y59" s="204"/>
      <c r="Z59" s="204"/>
      <c r="AA59" s="204"/>
      <c r="AB59" s="204"/>
      <c r="AC59" s="204"/>
      <c r="AD59" s="204"/>
      <c r="AE59" s="204"/>
      <c r="AF59" s="205"/>
      <c r="AG59" s="22"/>
    </row>
    <row r="60" spans="1:33">
      <c r="A60" s="22"/>
      <c r="B60" s="197"/>
      <c r="C60" s="198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9"/>
      <c r="S60" s="206"/>
      <c r="T60" s="207"/>
      <c r="U60" s="207"/>
      <c r="V60" s="207"/>
      <c r="W60" s="207"/>
      <c r="X60" s="207"/>
      <c r="Y60" s="207"/>
      <c r="Z60" s="207"/>
      <c r="AA60" s="207"/>
      <c r="AB60" s="207"/>
      <c r="AC60" s="207"/>
      <c r="AD60" s="207"/>
      <c r="AE60" s="207"/>
      <c r="AF60" s="208"/>
      <c r="AG60" s="22"/>
    </row>
    <row r="61" spans="1:33">
      <c r="A61" s="22"/>
      <c r="B61" s="200"/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1"/>
      <c r="R61" s="202"/>
      <c r="S61" s="209"/>
      <c r="T61" s="210"/>
      <c r="U61" s="210"/>
      <c r="V61" s="210"/>
      <c r="W61" s="210"/>
      <c r="X61" s="210"/>
      <c r="Y61" s="210"/>
      <c r="Z61" s="210"/>
      <c r="AA61" s="210"/>
      <c r="AB61" s="210"/>
      <c r="AC61" s="210"/>
      <c r="AD61" s="210"/>
      <c r="AE61" s="210"/>
      <c r="AF61" s="211"/>
      <c r="AG61" s="22"/>
    </row>
    <row r="62" spans="1:33" ht="15" customHeight="1">
      <c r="A62" s="22"/>
      <c r="B62" s="212" t="s">
        <v>208</v>
      </c>
      <c r="C62" s="213"/>
      <c r="D62" s="213"/>
      <c r="E62" s="213"/>
      <c r="F62" s="214"/>
      <c r="G62" s="221" t="s">
        <v>209</v>
      </c>
      <c r="H62" s="222"/>
      <c r="I62" s="222"/>
      <c r="J62" s="222"/>
      <c r="K62" s="222"/>
      <c r="L62" s="222"/>
      <c r="M62" s="222"/>
      <c r="N62" s="222"/>
      <c r="O62" s="222"/>
      <c r="P62" s="222"/>
      <c r="Q62" s="222"/>
      <c r="R62" s="223"/>
      <c r="S62" s="230" t="s">
        <v>210</v>
      </c>
      <c r="T62" s="213"/>
      <c r="U62" s="213"/>
      <c r="V62" s="213"/>
      <c r="W62" s="213"/>
      <c r="X62" s="213"/>
      <c r="Y62" s="213"/>
      <c r="Z62" s="213"/>
      <c r="AA62" s="213"/>
      <c r="AB62" s="213"/>
      <c r="AC62" s="213"/>
      <c r="AD62" s="213"/>
      <c r="AE62" s="213"/>
      <c r="AF62" s="231"/>
      <c r="AG62" s="22"/>
    </row>
    <row r="63" spans="1:33">
      <c r="A63" s="22"/>
      <c r="B63" s="215"/>
      <c r="C63" s="216"/>
      <c r="D63" s="216"/>
      <c r="E63" s="216"/>
      <c r="F63" s="217"/>
      <c r="G63" s="224"/>
      <c r="H63" s="225"/>
      <c r="I63" s="225"/>
      <c r="J63" s="225"/>
      <c r="K63" s="225"/>
      <c r="L63" s="225"/>
      <c r="M63" s="225"/>
      <c r="N63" s="225"/>
      <c r="O63" s="225"/>
      <c r="P63" s="225"/>
      <c r="Q63" s="225"/>
      <c r="R63" s="226"/>
      <c r="S63" s="232"/>
      <c r="T63" s="216"/>
      <c r="U63" s="216"/>
      <c r="V63" s="216"/>
      <c r="W63" s="216"/>
      <c r="X63" s="216"/>
      <c r="Y63" s="216"/>
      <c r="Z63" s="216"/>
      <c r="AA63" s="216"/>
      <c r="AB63" s="216"/>
      <c r="AC63" s="216"/>
      <c r="AD63" s="216"/>
      <c r="AE63" s="216"/>
      <c r="AF63" s="233"/>
      <c r="AG63" s="22"/>
    </row>
    <row r="64" spans="1:33" ht="15.75" thickBot="1">
      <c r="A64" s="22"/>
      <c r="B64" s="218"/>
      <c r="C64" s="219"/>
      <c r="D64" s="219"/>
      <c r="E64" s="219"/>
      <c r="F64" s="220"/>
      <c r="G64" s="227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9"/>
      <c r="S64" s="234"/>
      <c r="T64" s="219"/>
      <c r="U64" s="219"/>
      <c r="V64" s="219"/>
      <c r="W64" s="219"/>
      <c r="X64" s="219"/>
      <c r="Y64" s="219"/>
      <c r="Z64" s="219"/>
      <c r="AA64" s="219"/>
      <c r="AB64" s="219"/>
      <c r="AC64" s="219"/>
      <c r="AD64" s="219"/>
      <c r="AE64" s="219"/>
      <c r="AF64" s="235"/>
      <c r="AG64" s="22"/>
    </row>
    <row r="65" spans="1:33" ht="15.75" thickBot="1">
      <c r="A65" s="22"/>
      <c r="B65" s="50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2"/>
      <c r="AG65" s="22"/>
    </row>
    <row r="66" spans="1:33" ht="15" customHeight="1">
      <c r="A66" s="22"/>
      <c r="B66" s="190" t="s">
        <v>211</v>
      </c>
      <c r="C66" s="191"/>
      <c r="D66" s="186" t="s">
        <v>166</v>
      </c>
      <c r="E66" s="187"/>
      <c r="F66" s="187"/>
      <c r="G66" s="187"/>
      <c r="H66" s="187"/>
      <c r="I66" s="187"/>
      <c r="J66" s="188"/>
      <c r="K66" s="186" t="s">
        <v>167</v>
      </c>
      <c r="L66" s="187"/>
      <c r="M66" s="187"/>
      <c r="N66" s="188"/>
      <c r="O66" s="186" t="s">
        <v>168</v>
      </c>
      <c r="P66" s="187"/>
      <c r="Q66" s="187"/>
      <c r="R66" s="187"/>
      <c r="S66" s="187"/>
      <c r="T66" s="187"/>
      <c r="U66" s="187"/>
      <c r="V66" s="188"/>
      <c r="W66" s="186" t="s">
        <v>169</v>
      </c>
      <c r="X66" s="187"/>
      <c r="Y66" s="187"/>
      <c r="Z66" s="187"/>
      <c r="AA66" s="188"/>
      <c r="AB66" s="186" t="s">
        <v>33</v>
      </c>
      <c r="AC66" s="187"/>
      <c r="AD66" s="187"/>
      <c r="AE66" s="187"/>
      <c r="AF66" s="189"/>
      <c r="AG66" s="22"/>
    </row>
    <row r="67" spans="1:33">
      <c r="A67" s="22"/>
      <c r="B67" s="144"/>
      <c r="C67" s="145"/>
      <c r="D67" s="181" t="s">
        <v>212</v>
      </c>
      <c r="E67" s="182"/>
      <c r="F67" s="182"/>
      <c r="G67" s="182"/>
      <c r="H67" s="182"/>
      <c r="I67" s="182"/>
      <c r="J67" s="263"/>
      <c r="K67" s="245" t="str">
        <f>IFERROR(#REF!,"")</f>
        <v/>
      </c>
      <c r="L67" s="246"/>
      <c r="M67" s="246"/>
      <c r="N67" s="247"/>
      <c r="O67" s="236" t="e">
        <f>IF(#REF!&lt;0,0,#REF!)</f>
        <v>#REF!</v>
      </c>
      <c r="P67" s="237"/>
      <c r="Q67" s="237"/>
      <c r="R67" s="237"/>
      <c r="S67" s="237"/>
      <c r="T67" s="237"/>
      <c r="U67" s="237"/>
      <c r="V67" s="238"/>
      <c r="W67" s="239" t="e">
        <f>#REF!*1000&amp;" / 1000"</f>
        <v>#REF!</v>
      </c>
      <c r="X67" s="240"/>
      <c r="Y67" s="240"/>
      <c r="Z67" s="240"/>
      <c r="AA67" s="241"/>
      <c r="AB67" s="242" t="e">
        <f>IF(#REF!&lt;0,0,IF(#REF!&gt;1,#REF!,#REF!))</f>
        <v>#REF!</v>
      </c>
      <c r="AC67" s="243"/>
      <c r="AD67" s="243"/>
      <c r="AE67" s="243"/>
      <c r="AF67" s="244"/>
      <c r="AG67" s="22"/>
    </row>
    <row r="68" spans="1:33">
      <c r="A68" s="22"/>
      <c r="B68" s="144"/>
      <c r="C68" s="145"/>
      <c r="D68" s="181" t="s">
        <v>213</v>
      </c>
      <c r="E68" s="182"/>
      <c r="F68" s="182"/>
      <c r="G68" s="182"/>
      <c r="H68" s="182"/>
      <c r="I68" s="182"/>
      <c r="J68" s="263"/>
      <c r="K68" s="245" t="str">
        <f>IFERROR(#REF!,"")</f>
        <v/>
      </c>
      <c r="L68" s="246"/>
      <c r="M68" s="246"/>
      <c r="N68" s="247"/>
      <c r="O68" s="236" t="e">
        <f>IF(#REF!&lt;0,0,#REF!)</f>
        <v>#REF!</v>
      </c>
      <c r="P68" s="237"/>
      <c r="Q68" s="237"/>
      <c r="R68" s="237"/>
      <c r="S68" s="237"/>
      <c r="T68" s="237"/>
      <c r="U68" s="237"/>
      <c r="V68" s="238"/>
      <c r="W68" s="239" t="e">
        <f>#REF!*1000&amp;" / 1000"</f>
        <v>#REF!</v>
      </c>
      <c r="X68" s="240"/>
      <c r="Y68" s="240"/>
      <c r="Z68" s="240"/>
      <c r="AA68" s="241"/>
      <c r="AB68" s="242" t="e">
        <f>IF(#REF!&lt;0,0,IF(#REF!&gt;1,#REF!,#REF!))</f>
        <v>#REF!</v>
      </c>
      <c r="AC68" s="243"/>
      <c r="AD68" s="243"/>
      <c r="AE68" s="243"/>
      <c r="AF68" s="244"/>
      <c r="AG68" s="22"/>
    </row>
    <row r="69" spans="1:33">
      <c r="A69" s="22"/>
      <c r="B69" s="144"/>
      <c r="C69" s="145"/>
      <c r="D69" s="181" t="s">
        <v>214</v>
      </c>
      <c r="E69" s="182"/>
      <c r="F69" s="182"/>
      <c r="G69" s="182"/>
      <c r="H69" s="182"/>
      <c r="I69" s="182"/>
      <c r="J69" s="263"/>
      <c r="K69" s="245" t="str">
        <f>IFERROR(#REF!,"")</f>
        <v/>
      </c>
      <c r="L69" s="246"/>
      <c r="M69" s="246"/>
      <c r="N69" s="247"/>
      <c r="O69" s="236" t="e">
        <f>IF(#REF!&lt;0,0,#REF!)</f>
        <v>#REF!</v>
      </c>
      <c r="P69" s="237"/>
      <c r="Q69" s="237"/>
      <c r="R69" s="237"/>
      <c r="S69" s="237"/>
      <c r="T69" s="237"/>
      <c r="U69" s="237"/>
      <c r="V69" s="238"/>
      <c r="W69" s="239" t="e">
        <f>#REF!*1000&amp;" / 1000"</f>
        <v>#REF!</v>
      </c>
      <c r="X69" s="240"/>
      <c r="Y69" s="240"/>
      <c r="Z69" s="240"/>
      <c r="AA69" s="241"/>
      <c r="AB69" s="242" t="e">
        <f>IF(#REF!&lt;0,0,IF(#REF!&gt;1,#REF!,#REF!))</f>
        <v>#REF!</v>
      </c>
      <c r="AC69" s="243"/>
      <c r="AD69" s="243"/>
      <c r="AE69" s="243"/>
      <c r="AF69" s="244"/>
      <c r="AG69" s="22"/>
    </row>
    <row r="70" spans="1:33">
      <c r="A70" s="22"/>
      <c r="B70" s="144"/>
      <c r="C70" s="145"/>
      <c r="D70" s="181" t="s">
        <v>215</v>
      </c>
      <c r="E70" s="182"/>
      <c r="F70" s="182"/>
      <c r="G70" s="182"/>
      <c r="H70" s="182"/>
      <c r="I70" s="182"/>
      <c r="J70" s="263"/>
      <c r="K70" s="245" t="str">
        <f>IFERROR(#REF!,"")</f>
        <v/>
      </c>
      <c r="L70" s="246"/>
      <c r="M70" s="246"/>
      <c r="N70" s="247"/>
      <c r="O70" s="236" t="e">
        <f>IF(#REF!&lt;0,0,#REF!)</f>
        <v>#REF!</v>
      </c>
      <c r="P70" s="237"/>
      <c r="Q70" s="237"/>
      <c r="R70" s="237"/>
      <c r="S70" s="237"/>
      <c r="T70" s="237"/>
      <c r="U70" s="237"/>
      <c r="V70" s="238"/>
      <c r="W70" s="239" t="e">
        <f>#REF!*1000&amp;" / 1000"</f>
        <v>#REF!</v>
      </c>
      <c r="X70" s="240"/>
      <c r="Y70" s="240"/>
      <c r="Z70" s="240"/>
      <c r="AA70" s="241"/>
      <c r="AB70" s="242" t="e">
        <f>IF(#REF!&lt;0,0,IF(#REF!&gt;1,#REF!,#REF!))</f>
        <v>#REF!</v>
      </c>
      <c r="AC70" s="243"/>
      <c r="AD70" s="243"/>
      <c r="AE70" s="243"/>
      <c r="AF70" s="244"/>
      <c r="AG70" s="22"/>
    </row>
    <row r="71" spans="1:33">
      <c r="A71" s="22"/>
      <c r="B71" s="144"/>
      <c r="C71" s="145"/>
      <c r="D71" s="181" t="s">
        <v>216</v>
      </c>
      <c r="E71" s="182"/>
      <c r="F71" s="182"/>
      <c r="G71" s="182"/>
      <c r="H71" s="182"/>
      <c r="I71" s="182"/>
      <c r="J71" s="263"/>
      <c r="K71" s="245" t="str">
        <f>IFERROR(#REF!,"")</f>
        <v/>
      </c>
      <c r="L71" s="246"/>
      <c r="M71" s="246"/>
      <c r="N71" s="247"/>
      <c r="O71" s="236" t="e">
        <f>IF(#REF!&lt;0,0,#REF!)</f>
        <v>#REF!</v>
      </c>
      <c r="P71" s="237"/>
      <c r="Q71" s="237"/>
      <c r="R71" s="237"/>
      <c r="S71" s="237"/>
      <c r="T71" s="237"/>
      <c r="U71" s="237"/>
      <c r="V71" s="238"/>
      <c r="W71" s="239" t="e">
        <f>#REF!*1000&amp;" / 1000"</f>
        <v>#REF!</v>
      </c>
      <c r="X71" s="240"/>
      <c r="Y71" s="240"/>
      <c r="Z71" s="240"/>
      <c r="AA71" s="241"/>
      <c r="AB71" s="242" t="e">
        <f>IF(#REF!&lt;0,0,IF(#REF!&gt;1,#REF!,#REF!))</f>
        <v>#REF!</v>
      </c>
      <c r="AC71" s="243"/>
      <c r="AD71" s="243"/>
      <c r="AE71" s="243"/>
      <c r="AF71" s="244"/>
      <c r="AG71" s="22"/>
    </row>
    <row r="72" spans="1:33">
      <c r="A72" s="22"/>
      <c r="B72" s="144"/>
      <c r="C72" s="145"/>
      <c r="D72" s="181" t="s">
        <v>217</v>
      </c>
      <c r="E72" s="182"/>
      <c r="F72" s="182"/>
      <c r="G72" s="182"/>
      <c r="H72" s="182"/>
      <c r="I72" s="182"/>
      <c r="J72" s="263"/>
      <c r="K72" s="245" t="str">
        <f>IFERROR(#REF!,"")</f>
        <v/>
      </c>
      <c r="L72" s="246"/>
      <c r="M72" s="246"/>
      <c r="N72" s="247"/>
      <c r="O72" s="236" t="e">
        <f>IF(#REF!&lt;0,0,#REF!)</f>
        <v>#REF!</v>
      </c>
      <c r="P72" s="237"/>
      <c r="Q72" s="237"/>
      <c r="R72" s="237"/>
      <c r="S72" s="237"/>
      <c r="T72" s="237"/>
      <c r="U72" s="237"/>
      <c r="V72" s="238"/>
      <c r="W72" s="239" t="e">
        <f>#REF!*1000&amp;" / 1000"</f>
        <v>#REF!</v>
      </c>
      <c r="X72" s="240"/>
      <c r="Y72" s="240"/>
      <c r="Z72" s="240"/>
      <c r="AA72" s="241"/>
      <c r="AB72" s="242" t="e">
        <f>IF(#REF!&lt;0,0,IF(#REF!&gt;1,#REF!,#REF!))</f>
        <v>#REF!</v>
      </c>
      <c r="AC72" s="243"/>
      <c r="AD72" s="243"/>
      <c r="AE72" s="243"/>
      <c r="AF72" s="244"/>
      <c r="AG72" s="22"/>
    </row>
    <row r="73" spans="1:33">
      <c r="A73" s="22"/>
      <c r="B73" s="144"/>
      <c r="C73" s="145"/>
      <c r="D73" s="181" t="s">
        <v>218</v>
      </c>
      <c r="E73" s="182"/>
      <c r="F73" s="182"/>
      <c r="G73" s="182"/>
      <c r="H73" s="182"/>
      <c r="I73" s="182"/>
      <c r="J73" s="263"/>
      <c r="K73" s="245" t="str">
        <f>IFERROR(#REF!,"")</f>
        <v/>
      </c>
      <c r="L73" s="246"/>
      <c r="M73" s="246"/>
      <c r="N73" s="247"/>
      <c r="O73" s="236" t="e">
        <f>IF(#REF!&lt;0,0,#REF!)</f>
        <v>#REF!</v>
      </c>
      <c r="P73" s="237"/>
      <c r="Q73" s="237"/>
      <c r="R73" s="237"/>
      <c r="S73" s="237"/>
      <c r="T73" s="237"/>
      <c r="U73" s="237"/>
      <c r="V73" s="238"/>
      <c r="W73" s="239" t="e">
        <f>#REF!*1000&amp;" / 1000"</f>
        <v>#REF!</v>
      </c>
      <c r="X73" s="240"/>
      <c r="Y73" s="240"/>
      <c r="Z73" s="240"/>
      <c r="AA73" s="241"/>
      <c r="AB73" s="242" t="e">
        <f>IF(#REF!&lt;0,0,IF(#REF!&gt;1,#REF!,#REF!))</f>
        <v>#REF!</v>
      </c>
      <c r="AC73" s="243"/>
      <c r="AD73" s="243"/>
      <c r="AE73" s="243"/>
      <c r="AF73" s="244"/>
      <c r="AG73" s="22"/>
    </row>
    <row r="74" spans="1:33">
      <c r="A74" s="22"/>
      <c r="B74" s="144"/>
      <c r="C74" s="145"/>
      <c r="D74" s="181" t="s">
        <v>219</v>
      </c>
      <c r="E74" s="182"/>
      <c r="F74" s="182"/>
      <c r="G74" s="182"/>
      <c r="H74" s="182"/>
      <c r="I74" s="182"/>
      <c r="J74" s="263"/>
      <c r="K74" s="245" t="str">
        <f>IFERROR(#REF!,"")</f>
        <v/>
      </c>
      <c r="L74" s="246"/>
      <c r="M74" s="246"/>
      <c r="N74" s="247"/>
      <c r="O74" s="236">
        <v>0</v>
      </c>
      <c r="P74" s="237"/>
      <c r="Q74" s="237"/>
      <c r="R74" s="237"/>
      <c r="S74" s="237"/>
      <c r="T74" s="237"/>
      <c r="U74" s="237"/>
      <c r="V74" s="238"/>
      <c r="W74" s="239" t="e">
        <f>#REF!*1000&amp;" / 1000"</f>
        <v>#REF!</v>
      </c>
      <c r="X74" s="240"/>
      <c r="Y74" s="240"/>
      <c r="Z74" s="240"/>
      <c r="AA74" s="241"/>
      <c r="AB74" s="242">
        <v>0</v>
      </c>
      <c r="AC74" s="243"/>
      <c r="AD74" s="243"/>
      <c r="AE74" s="243"/>
      <c r="AF74" s="244"/>
      <c r="AG74" s="22"/>
    </row>
    <row r="75" spans="1:33">
      <c r="A75" s="22"/>
      <c r="B75" s="144"/>
      <c r="C75" s="145"/>
      <c r="D75" s="181" t="s">
        <v>220</v>
      </c>
      <c r="E75" s="182"/>
      <c r="F75" s="182"/>
      <c r="G75" s="182"/>
      <c r="H75" s="182"/>
      <c r="I75" s="182"/>
      <c r="J75" s="263"/>
      <c r="K75" s="245">
        <v>0</v>
      </c>
      <c r="L75" s="246"/>
      <c r="M75" s="246"/>
      <c r="N75" s="247"/>
      <c r="O75" s="236">
        <v>0</v>
      </c>
      <c r="P75" s="237"/>
      <c r="Q75" s="237"/>
      <c r="R75" s="237"/>
      <c r="S75" s="237"/>
      <c r="T75" s="237"/>
      <c r="U75" s="237"/>
      <c r="V75" s="238"/>
      <c r="W75" s="239" t="e">
        <f>#REF!*1000&amp;" / 1000"</f>
        <v>#REF!</v>
      </c>
      <c r="X75" s="240"/>
      <c r="Y75" s="240"/>
      <c r="Z75" s="240"/>
      <c r="AA75" s="241"/>
      <c r="AB75" s="242" t="e">
        <f>IF(#REF!&lt;0,0,IF(#REF!&gt;1,#REF!,#REF!))</f>
        <v>#REF!</v>
      </c>
      <c r="AC75" s="243"/>
      <c r="AD75" s="243"/>
      <c r="AE75" s="243"/>
      <c r="AF75" s="244"/>
      <c r="AG75" s="22"/>
    </row>
    <row r="76" spans="1:33">
      <c r="A76" s="22"/>
      <c r="B76" s="144"/>
      <c r="C76" s="145"/>
      <c r="D76" s="181" t="s">
        <v>221</v>
      </c>
      <c r="E76" s="182"/>
      <c r="F76" s="182"/>
      <c r="G76" s="182"/>
      <c r="H76" s="182"/>
      <c r="I76" s="182"/>
      <c r="J76" s="263"/>
      <c r="K76" s="245">
        <v>0</v>
      </c>
      <c r="L76" s="246"/>
      <c r="M76" s="246"/>
      <c r="N76" s="247"/>
      <c r="O76" s="236">
        <v>0</v>
      </c>
      <c r="P76" s="237"/>
      <c r="Q76" s="237"/>
      <c r="R76" s="237"/>
      <c r="S76" s="237"/>
      <c r="T76" s="237"/>
      <c r="U76" s="237"/>
      <c r="V76" s="238"/>
      <c r="W76" s="239"/>
      <c r="X76" s="240"/>
      <c r="Y76" s="240"/>
      <c r="Z76" s="240"/>
      <c r="AA76" s="241"/>
      <c r="AB76" s="248">
        <f t="shared" ref="AB76:AB78" si="0">+ROUND(O76*W76/1000,-3)</f>
        <v>0</v>
      </c>
      <c r="AC76" s="249"/>
      <c r="AD76" s="249"/>
      <c r="AE76" s="249"/>
      <c r="AF76" s="250"/>
      <c r="AG76" s="22"/>
    </row>
    <row r="77" spans="1:33">
      <c r="A77" s="22"/>
      <c r="B77" s="144"/>
      <c r="C77" s="145"/>
      <c r="D77" s="181" t="s">
        <v>222</v>
      </c>
      <c r="E77" s="182"/>
      <c r="F77" s="182"/>
      <c r="G77" s="182"/>
      <c r="H77" s="182"/>
      <c r="I77" s="182"/>
      <c r="J77" s="263"/>
      <c r="K77" s="245">
        <v>0</v>
      </c>
      <c r="L77" s="246"/>
      <c r="M77" s="246"/>
      <c r="N77" s="247"/>
      <c r="O77" s="236">
        <v>0</v>
      </c>
      <c r="P77" s="237"/>
      <c r="Q77" s="237"/>
      <c r="R77" s="237"/>
      <c r="S77" s="237"/>
      <c r="T77" s="237"/>
      <c r="U77" s="237"/>
      <c r="V77" s="238"/>
      <c r="W77" s="239"/>
      <c r="X77" s="240"/>
      <c r="Y77" s="240"/>
      <c r="Z77" s="240"/>
      <c r="AA77" s="241"/>
      <c r="AB77" s="248">
        <f t="shared" si="0"/>
        <v>0</v>
      </c>
      <c r="AC77" s="249"/>
      <c r="AD77" s="249"/>
      <c r="AE77" s="249"/>
      <c r="AF77" s="250"/>
      <c r="AG77" s="22"/>
    </row>
    <row r="78" spans="1:33">
      <c r="A78" s="22"/>
      <c r="B78" s="144"/>
      <c r="C78" s="145"/>
      <c r="D78" s="181" t="s">
        <v>223</v>
      </c>
      <c r="E78" s="182"/>
      <c r="F78" s="182"/>
      <c r="G78" s="182"/>
      <c r="H78" s="182"/>
      <c r="I78" s="182"/>
      <c r="J78" s="263"/>
      <c r="K78" s="245">
        <v>0</v>
      </c>
      <c r="L78" s="246"/>
      <c r="M78" s="246"/>
      <c r="N78" s="247"/>
      <c r="O78" s="236">
        <v>0</v>
      </c>
      <c r="P78" s="237"/>
      <c r="Q78" s="237"/>
      <c r="R78" s="237"/>
      <c r="S78" s="237"/>
      <c r="T78" s="237"/>
      <c r="U78" s="237"/>
      <c r="V78" s="238"/>
      <c r="W78" s="239"/>
      <c r="X78" s="240"/>
      <c r="Y78" s="240"/>
      <c r="Z78" s="240"/>
      <c r="AA78" s="241"/>
      <c r="AB78" s="248">
        <f t="shared" si="0"/>
        <v>0</v>
      </c>
      <c r="AC78" s="249"/>
      <c r="AD78" s="249"/>
      <c r="AE78" s="249"/>
      <c r="AF78" s="250"/>
      <c r="AG78" s="22"/>
    </row>
    <row r="79" spans="1:33" ht="15.75" thickBot="1">
      <c r="A79" s="22"/>
      <c r="B79" s="192"/>
      <c r="C79" s="193"/>
      <c r="D79" s="284" t="s">
        <v>175</v>
      </c>
      <c r="E79" s="285"/>
      <c r="F79" s="285"/>
      <c r="G79" s="285"/>
      <c r="H79" s="285"/>
      <c r="I79" s="285"/>
      <c r="J79" s="286"/>
      <c r="K79" s="287">
        <f>SUM(K67:N78)</f>
        <v>0</v>
      </c>
      <c r="L79" s="288"/>
      <c r="M79" s="288"/>
      <c r="N79" s="289"/>
      <c r="O79" s="281" t="e">
        <f>+SUM(O67:V78)</f>
        <v>#REF!</v>
      </c>
      <c r="P79" s="282"/>
      <c r="Q79" s="282"/>
      <c r="R79" s="282"/>
      <c r="S79" s="282"/>
      <c r="T79" s="282"/>
      <c r="U79" s="282"/>
      <c r="V79" s="283"/>
      <c r="W79" s="284" t="s">
        <v>176</v>
      </c>
      <c r="X79" s="285"/>
      <c r="Y79" s="285"/>
      <c r="Z79" s="285"/>
      <c r="AA79" s="286"/>
      <c r="AB79" s="278" t="e">
        <f>+SUM(AB67:AF78)</f>
        <v>#REF!</v>
      </c>
      <c r="AC79" s="279"/>
      <c r="AD79" s="279"/>
      <c r="AE79" s="279"/>
      <c r="AF79" s="280"/>
      <c r="AG79" s="22"/>
    </row>
    <row r="80" spans="1:33" ht="15.75" thickBot="1"/>
  </sheetData>
  <mergeCells count="216">
    <mergeCell ref="AB39:AF39"/>
    <mergeCell ref="U57:V57"/>
    <mergeCell ref="X57:Y57"/>
    <mergeCell ref="Z57:AA57"/>
    <mergeCell ref="AB57:AC57"/>
    <mergeCell ref="AD57:AE57"/>
    <mergeCell ref="X58:AF58"/>
    <mergeCell ref="E45:AA45"/>
    <mergeCell ref="E46:Y46"/>
    <mergeCell ref="Z46:AA46"/>
    <mergeCell ref="AB41:AF41"/>
    <mergeCell ref="AB42:AF42"/>
    <mergeCell ref="AB43:AF43"/>
    <mergeCell ref="AB49:AF49"/>
    <mergeCell ref="AB50:AF50"/>
    <mergeCell ref="AB40:AF40"/>
    <mergeCell ref="D52:R52"/>
    <mergeCell ref="D53:R55"/>
    <mergeCell ref="S52:W52"/>
    <mergeCell ref="Y52:AC52"/>
    <mergeCell ref="S53:AF55"/>
    <mergeCell ref="AD52:AE52"/>
    <mergeCell ref="H41:K41"/>
    <mergeCell ref="M41:N41"/>
    <mergeCell ref="AB18:AF18"/>
    <mergeCell ref="AB19:AF19"/>
    <mergeCell ref="AB20:AF20"/>
    <mergeCell ref="AB32:AF32"/>
    <mergeCell ref="AB34:AF34"/>
    <mergeCell ref="AB35:AF35"/>
    <mergeCell ref="AB36:AF36"/>
    <mergeCell ref="AB37:AF37"/>
    <mergeCell ref="AB38:AF38"/>
    <mergeCell ref="AB29:AF29"/>
    <mergeCell ref="AB77:AF77"/>
    <mergeCell ref="AB78:AF78"/>
    <mergeCell ref="AB79:AF79"/>
    <mergeCell ref="B3:F3"/>
    <mergeCell ref="O77:V77"/>
    <mergeCell ref="O78:V78"/>
    <mergeCell ref="O79:V79"/>
    <mergeCell ref="W76:AA76"/>
    <mergeCell ref="W77:AA77"/>
    <mergeCell ref="W78:AA78"/>
    <mergeCell ref="W79:AA79"/>
    <mergeCell ref="D79:J79"/>
    <mergeCell ref="D66:J66"/>
    <mergeCell ref="K76:N76"/>
    <mergeCell ref="K77:N77"/>
    <mergeCell ref="K78:N78"/>
    <mergeCell ref="K79:N79"/>
    <mergeCell ref="D73:J73"/>
    <mergeCell ref="D74:J74"/>
    <mergeCell ref="D75:J75"/>
    <mergeCell ref="D76:J76"/>
    <mergeCell ref="D77:J77"/>
    <mergeCell ref="D78:J78"/>
    <mergeCell ref="D67:J67"/>
    <mergeCell ref="D72:J72"/>
    <mergeCell ref="D56:E56"/>
    <mergeCell ref="F56:R56"/>
    <mergeCell ref="S56:T56"/>
    <mergeCell ref="U56:AF56"/>
    <mergeCell ref="K71:N71"/>
    <mergeCell ref="O71:V71"/>
    <mergeCell ref="W71:AA71"/>
    <mergeCell ref="AB71:AF71"/>
    <mergeCell ref="K72:N72"/>
    <mergeCell ref="O72:V72"/>
    <mergeCell ref="W72:AA72"/>
    <mergeCell ref="AB72:AF72"/>
    <mergeCell ref="K69:N69"/>
    <mergeCell ref="O69:V69"/>
    <mergeCell ref="W69:AA69"/>
    <mergeCell ref="AB69:AF69"/>
    <mergeCell ref="K70:N70"/>
    <mergeCell ref="K66:N66"/>
    <mergeCell ref="O66:V66"/>
    <mergeCell ref="Q57:R57"/>
    <mergeCell ref="K57:P57"/>
    <mergeCell ref="AB68:AF68"/>
    <mergeCell ref="P41:R41"/>
    <mergeCell ref="X41:AA41"/>
    <mergeCell ref="E39:AA39"/>
    <mergeCell ref="D68:J68"/>
    <mergeCell ref="D69:J69"/>
    <mergeCell ref="D70:J70"/>
    <mergeCell ref="D71:J71"/>
    <mergeCell ref="D28:I28"/>
    <mergeCell ref="O26:V26"/>
    <mergeCell ref="O27:V27"/>
    <mergeCell ref="O28:V28"/>
    <mergeCell ref="B23:C28"/>
    <mergeCell ref="E34:AA34"/>
    <mergeCell ref="E32:AA32"/>
    <mergeCell ref="D24:J24"/>
    <mergeCell ref="D25:J25"/>
    <mergeCell ref="D26:J26"/>
    <mergeCell ref="D27:J27"/>
    <mergeCell ref="K25:N25"/>
    <mergeCell ref="K26:N26"/>
    <mergeCell ref="W26:AA26"/>
    <mergeCell ref="W27:AA27"/>
    <mergeCell ref="W28:AA28"/>
    <mergeCell ref="B29:C29"/>
    <mergeCell ref="E30:AA30"/>
    <mergeCell ref="E22:AA22"/>
    <mergeCell ref="K10:AF10"/>
    <mergeCell ref="AB30:AF30"/>
    <mergeCell ref="AB31:AF31"/>
    <mergeCell ref="AB33:AF33"/>
    <mergeCell ref="E14:AA14"/>
    <mergeCell ref="E18:AA18"/>
    <mergeCell ref="E19:AA19"/>
    <mergeCell ref="E20:AA20"/>
    <mergeCell ref="K24:N24"/>
    <mergeCell ref="O24:V24"/>
    <mergeCell ref="W24:AA24"/>
    <mergeCell ref="AB27:AF27"/>
    <mergeCell ref="O25:V25"/>
    <mergeCell ref="AB28:AF28"/>
    <mergeCell ref="AB24:AF24"/>
    <mergeCell ref="AB25:AF25"/>
    <mergeCell ref="AB26:AF26"/>
    <mergeCell ref="AB22:AF22"/>
    <mergeCell ref="AB23:AF23"/>
    <mergeCell ref="W25:AA25"/>
    <mergeCell ref="AB21:AF21"/>
    <mergeCell ref="E31:AA31"/>
    <mergeCell ref="E33:AA33"/>
    <mergeCell ref="K75:N75"/>
    <mergeCell ref="O75:V75"/>
    <mergeCell ref="W75:AA75"/>
    <mergeCell ref="AB75:AF75"/>
    <mergeCell ref="O76:V76"/>
    <mergeCell ref="AB76:AF76"/>
    <mergeCell ref="K73:N73"/>
    <mergeCell ref="O73:V73"/>
    <mergeCell ref="W73:AA73"/>
    <mergeCell ref="AB73:AF73"/>
    <mergeCell ref="K74:N74"/>
    <mergeCell ref="O74:V74"/>
    <mergeCell ref="W74:AA74"/>
    <mergeCell ref="AB74:AF74"/>
    <mergeCell ref="V9:X9"/>
    <mergeCell ref="Z9:AE9"/>
    <mergeCell ref="E15:AA15"/>
    <mergeCell ref="E16:AA16"/>
    <mergeCell ref="E17:AA17"/>
    <mergeCell ref="E21:AA21"/>
    <mergeCell ref="W66:AA66"/>
    <mergeCell ref="AB66:AF66"/>
    <mergeCell ref="B66:C79"/>
    <mergeCell ref="B59:R61"/>
    <mergeCell ref="S59:AF61"/>
    <mergeCell ref="B62:F64"/>
    <mergeCell ref="G62:R64"/>
    <mergeCell ref="S62:AF64"/>
    <mergeCell ref="O70:V70"/>
    <mergeCell ref="W70:AA70"/>
    <mergeCell ref="AB70:AF70"/>
    <mergeCell ref="K67:N67"/>
    <mergeCell ref="O67:V67"/>
    <mergeCell ref="W67:AA67"/>
    <mergeCell ref="AB67:AF67"/>
    <mergeCell ref="K68:N68"/>
    <mergeCell ref="O68:V68"/>
    <mergeCell ref="W68:AA68"/>
    <mergeCell ref="B52:C57"/>
    <mergeCell ref="B49:G51"/>
    <mergeCell ref="AB44:AF44"/>
    <mergeCell ref="B45:C48"/>
    <mergeCell ref="AB45:AF45"/>
    <mergeCell ref="AB46:AF46"/>
    <mergeCell ref="AB47:AF47"/>
    <mergeCell ref="AB48:AF48"/>
    <mergeCell ref="E47:AA47"/>
    <mergeCell ref="E48:AA48"/>
    <mergeCell ref="B30:C44"/>
    <mergeCell ref="I49:AA49"/>
    <mergeCell ref="I50:AA50"/>
    <mergeCell ref="H51:K51"/>
    <mergeCell ref="L51:AF51"/>
    <mergeCell ref="E35:AA35"/>
    <mergeCell ref="E36:AA36"/>
    <mergeCell ref="E37:AA37"/>
    <mergeCell ref="E38:AA38"/>
    <mergeCell ref="E42:AA42"/>
    <mergeCell ref="E43:AA43"/>
    <mergeCell ref="E44:AA44"/>
    <mergeCell ref="E40:AA40"/>
    <mergeCell ref="E41:G41"/>
    <mergeCell ref="B2:AF2"/>
    <mergeCell ref="B4:F4"/>
    <mergeCell ref="G4:Y4"/>
    <mergeCell ref="Z3:AF3"/>
    <mergeCell ref="Z4:AF4"/>
    <mergeCell ref="AB14:AF14"/>
    <mergeCell ref="AB15:AF15"/>
    <mergeCell ref="AB16:AF16"/>
    <mergeCell ref="AB17:AF17"/>
    <mergeCell ref="AA7:AC7"/>
    <mergeCell ref="B5:D6"/>
    <mergeCell ref="E5:H6"/>
    <mergeCell ref="P5:Y5"/>
    <mergeCell ref="G3:Y3"/>
    <mergeCell ref="E7:H7"/>
    <mergeCell ref="B7:D7"/>
    <mergeCell ref="P7:V7"/>
    <mergeCell ref="W7:Z7"/>
    <mergeCell ref="B14:C22"/>
    <mergeCell ref="E13:I13"/>
    <mergeCell ref="V13:AA13"/>
    <mergeCell ref="B8:C13"/>
    <mergeCell ref="L8:AF8"/>
    <mergeCell ref="N9:S9"/>
  </mergeCells>
  <hyperlinks>
    <hyperlink ref="J13" r:id="rId1" xr:uid="{00000000-0004-0000-0300-000000000000}"/>
  </hyperlinks>
  <pageMargins left="0.7" right="0.7" top="0.75" bottom="0.75" header="0.3" footer="0.3"/>
  <pageSetup paperSize="9" scale="63" orientation="portrait" r:id="rId2"/>
  <customProperties>
    <customPr name="OrphanNamesChecked" r:id="rId3"/>
  </customPropertie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'https://crowe2018-my.sharepoint.com/Users/U6066899/Downloads/[FORMULARIO UNICO ICA VIGENCIA 2018 GDOT V3 (Excel).xls]Admin'!#REF!</xm:f>
          </x14:formula1>
          <xm:sqref>AB131050:AF131050 AB196586:AF196586 AB983018:AF983018 AB851946:AF851946 AB917482:AF917482 AB720874:AF720874 AB786410:AF786410 AB655338:AF655338 AB524266:AF524266 AB589802:AF589802 AB458730:AF458730 AB327658:AF327658 AB393194:AF393194 AB262122:AF262122 AB65514:AF65514</xm:sqref>
        </x14:dataValidation>
        <x14:dataValidation type="list" allowBlank="1" showInputMessage="1" showErrorMessage="1" xr:uid="{00000000-0002-0000-0300-000001000000}">
          <x14:formula1>
            <xm:f>#REF!</xm:f>
          </x14:formula1>
          <xm:sqref>F56:R56</xm:sqref>
        </x14:dataValidation>
        <x14:dataValidation type="list" allowBlank="1" showInputMessage="1" showErrorMessage="1" xr:uid="{00000000-0002-0000-0300-000002000000}">
          <x14:formula1>
            <xm:f>#REF!</xm:f>
          </x14:formula1>
          <xm:sqref>U56:AF56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3"/>
  <sheetViews>
    <sheetView workbookViewId="0"/>
  </sheetViews>
  <sheetFormatPr baseColWidth="10" defaultColWidth="9.140625" defaultRowHeight="15"/>
  <sheetData>
    <row r="1" spans="1:2">
      <c r="A1" t="s">
        <v>264</v>
      </c>
      <c r="B1" t="s">
        <v>265</v>
      </c>
    </row>
    <row r="2" spans="1:2">
      <c r="A2">
        <v>1</v>
      </c>
      <c r="B2" t="s">
        <v>266</v>
      </c>
    </row>
    <row r="3" spans="1:2">
      <c r="A3">
        <v>2</v>
      </c>
      <c r="B3" t="s">
        <v>267</v>
      </c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532e4fa-fee4-4d27-bd42-ab9b5296a2b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842F79967AD744905F37EAD26D5CFD" ma:contentTypeVersion="14" ma:contentTypeDescription="Crear nuevo documento." ma:contentTypeScope="" ma:versionID="b346fc0c86c1d7e12ca984d349f0ada9">
  <xsd:schema xmlns:xsd="http://www.w3.org/2001/XMLSchema" xmlns:xs="http://www.w3.org/2001/XMLSchema" xmlns:p="http://schemas.microsoft.com/office/2006/metadata/properties" xmlns:ns3="1532e4fa-fee4-4d27-bd42-ab9b5296a2bb" xmlns:ns4="18f1f7ff-4668-462c-8329-f7295fd88f77" targetNamespace="http://schemas.microsoft.com/office/2006/metadata/properties" ma:root="true" ma:fieldsID="b9a71c4d516ce20c71ff7c91cccbee47" ns3:_="" ns4:_="">
    <xsd:import namespace="1532e4fa-fee4-4d27-bd42-ab9b5296a2bb"/>
    <xsd:import namespace="18f1f7ff-4668-462c-8329-f7295fd88f7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32e4fa-fee4-4d27-bd42-ab9b5296a2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f1f7ff-4668-462c-8329-f7295fd88f7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BACD5A-A089-4A9E-B4BB-EE8E9FDBFD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5620A6-8B7D-4B11-9837-8FD390CC3D5C}">
  <ds:schemaRefs>
    <ds:schemaRef ds:uri="http://schemas.microsoft.com/office/2006/documentManagement/types"/>
    <ds:schemaRef ds:uri="http://www.w3.org/XML/1998/namespace"/>
    <ds:schemaRef ds:uri="http://purl.org/dc/dcmitype/"/>
    <ds:schemaRef ds:uri="http://purl.org/dc/terms/"/>
    <ds:schemaRef ds:uri="1532e4fa-fee4-4d27-bd42-ab9b5296a2bb"/>
    <ds:schemaRef ds:uri="http://schemas.microsoft.com/office/2006/metadata/properties"/>
    <ds:schemaRef ds:uri="18f1f7ff-4668-462c-8329-f7295fd88f77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8D734EF-9007-4E1F-A79F-21EAF4C88B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32e4fa-fee4-4d27-bd42-ab9b5296a2bb"/>
    <ds:schemaRef ds:uri="18f1f7ff-4668-462c-8329-f7295fd88f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56440b0-bb43-4d81-a621-bc28eeeaa1f1}" enabled="1" method="Privileged" siteId="{d49de431-8ec2-4627-95dc-a1b041bbab3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17</vt:i4>
      </vt:variant>
    </vt:vector>
  </HeadingPairs>
  <TitlesOfParts>
    <vt:vector size="21" baseType="lpstr">
      <vt:lpstr>Admin</vt:lpstr>
      <vt:lpstr>Portada</vt:lpstr>
      <vt:lpstr>Formulario</vt:lpstr>
      <vt:lpstr>NoteTypes</vt:lpstr>
      <vt:lpstr>Adress</vt:lpstr>
      <vt:lpstr>Formulario!Área_de_impresión</vt:lpstr>
      <vt:lpstr>Codes</vt:lpstr>
      <vt:lpstr>Contact</vt:lpstr>
      <vt:lpstr>DANE</vt:lpstr>
      <vt:lpstr>DatacollectionRequesrID</vt:lpstr>
      <vt:lpstr>Duedate</vt:lpstr>
      <vt:lpstr>EntityID</vt:lpstr>
      <vt:lpstr>EntityName</vt:lpstr>
      <vt:lpstr>Jurisdiction</vt:lpstr>
      <vt:lpstr>Period</vt:lpstr>
      <vt:lpstr>reporte.block</vt:lpstr>
      <vt:lpstr>Scenario</vt:lpstr>
      <vt:lpstr>Status</vt:lpstr>
      <vt:lpstr>TaxType</vt:lpstr>
      <vt:lpstr>TemplateName</vt:lpstr>
      <vt:lpstr>Year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Briyid Naranjo</dc:creator>
  <cp:keywords/>
  <dc:description/>
  <cp:lastModifiedBy>Fabian Stiven Mejia Basabe</cp:lastModifiedBy>
  <cp:lastPrinted>2020-01-20T16:04:39Z</cp:lastPrinted>
  <dcterms:created xsi:type="dcterms:W3CDTF">2020-01-15T13:36:03Z</dcterms:created>
  <dcterms:modified xsi:type="dcterms:W3CDTF">2026-06-17T22:22:45Z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put Color">
    <vt:lpwstr>65280</vt:lpwstr>
  </property>
  <property fmtid="{D5CDD505-2E9C-101B-9397-08002B2CF9AE}" pid="3" name="ContentTypeId">
    <vt:lpwstr>0x01010035842F79967AD744905F37EAD26D5CFD</vt:lpwstr>
  </property>
  <property fmtid="{D5CDD505-2E9C-101B-9397-08002B2CF9AE}" pid="4" name="Status">
    <vt:lpwstr>Edit</vt:lpwstr>
  </property>
  <property fmtid="{D5CDD505-2E9C-101B-9397-08002B2CF9AE}" pid="5" name="DataCollectionRequestId">
    <vt:i4>9740</vt:i4>
  </property>
  <property fmtid="{D5CDD505-2E9C-101B-9397-08002B2CF9AE}" pid="6" name="DataCollectionTemplateId">
    <vt:lpwstr>51</vt:lpwstr>
  </property>
  <property fmtid="{D5CDD505-2E9C-101B-9397-08002B2CF9AE}" pid="7" name="EntityName">
    <vt:lpwstr>GRUPO ENERGIA BOGOTÄ SA ESP</vt:lpwstr>
  </property>
  <property fmtid="{D5CDD505-2E9C-101B-9397-08002B2CF9AE}" pid="8" name="EntityId">
    <vt:lpwstr>899999082</vt:lpwstr>
  </property>
  <property fmtid="{D5CDD505-2E9C-101B-9397-08002B2CF9AE}" pid="9" name="TaxType">
    <vt:lpwstr>AUTOICA</vt:lpwstr>
  </property>
  <property fmtid="{D5CDD505-2E9C-101B-9397-08002B2CF9AE}" pid="10" name="TemplateName">
    <vt:lpwstr>AUTOICAGEB2025</vt:lpwstr>
  </property>
  <property fmtid="{D5CDD505-2E9C-101B-9397-08002B2CF9AE}" pid="11" name="TemplateExtension">
    <vt:lpwstr>.xlsm</vt:lpwstr>
  </property>
  <property fmtid="{D5CDD505-2E9C-101B-9397-08002B2CF9AE}" pid="12" name="WorkflowProcess">
    <vt:lpwstr/>
  </property>
  <property fmtid="{D5CDD505-2E9C-101B-9397-08002B2CF9AE}" pid="13" name="Year">
    <vt:lpwstr>2025</vt:lpwstr>
  </property>
  <property fmtid="{D5CDD505-2E9C-101B-9397-08002B2CF9AE}" pid="14" name="Period">
    <vt:lpwstr>NOVIEMBRE</vt:lpwstr>
  </property>
  <property fmtid="{D5CDD505-2E9C-101B-9397-08002B2CF9AE}" pid="15" name="URL1">
    <vt:lpwstr>https://workflow-amer1.onesourcelogin.com</vt:lpwstr>
  </property>
  <property fmtid="{D5CDD505-2E9C-101B-9397-08002B2CF9AE}" pid="16" name="FormsFlowVersion">
    <vt:i4>81</vt:i4>
  </property>
  <property fmtid="{D5CDD505-2E9C-101B-9397-08002B2CF9AE}" pid="17" name="TemplateVersion">
    <vt:i4>35</vt:i4>
  </property>
  <property fmtid="{D5CDD505-2E9C-101B-9397-08002B2CF9AE}" pid="18" name="TemplateID">
    <vt:lpwstr>51</vt:lpwstr>
  </property>
  <property fmtid="{D5CDD505-2E9C-101B-9397-08002B2CF9AE}" pid="19" name="CID">
    <vt:lpwstr>ADY</vt:lpwstr>
  </property>
  <property fmtid="{D5CDD505-2E9C-101B-9397-08002B2CF9AE}" pid="20" name="Jurisdiction">
    <vt:lpwstr>CIENAGA-MAGDALENA-47189</vt:lpwstr>
  </property>
  <property fmtid="{D5CDD505-2E9C-101B-9397-08002B2CF9AE}" pid="21" name="Codes">
    <vt:lpwstr/>
  </property>
  <property fmtid="{D5CDD505-2E9C-101B-9397-08002B2CF9AE}" pid="22" name="Scenario">
    <vt:lpwstr/>
  </property>
  <property fmtid="{D5CDD505-2E9C-101B-9397-08002B2CF9AE}" pid="23" name="ClientNumber">
    <vt:lpwstr/>
  </property>
  <property fmtid="{D5CDD505-2E9C-101B-9397-08002B2CF9AE}" pid="24" name="ClientName">
    <vt:lpwstr/>
  </property>
  <property fmtid="{D5CDD505-2E9C-101B-9397-08002B2CF9AE}" pid="25" name="Address1">
    <vt:lpwstr/>
  </property>
  <property fmtid="{D5CDD505-2E9C-101B-9397-08002B2CF9AE}" pid="26" name="Address2">
    <vt:lpwstr/>
  </property>
  <property fmtid="{D5CDD505-2E9C-101B-9397-08002B2CF9AE}" pid="27" name="City">
    <vt:lpwstr/>
  </property>
  <property fmtid="{D5CDD505-2E9C-101B-9397-08002B2CF9AE}" pid="28" name="State">
    <vt:lpwstr/>
  </property>
  <property fmtid="{D5CDD505-2E9C-101B-9397-08002B2CF9AE}" pid="29" name="Country">
    <vt:lpwstr>Colombia</vt:lpwstr>
  </property>
  <property fmtid="{D5CDD505-2E9C-101B-9397-08002B2CF9AE}" pid="30" name="Zip">
    <vt:lpwstr/>
  </property>
  <property fmtid="{D5CDD505-2E9C-101B-9397-08002B2CF9AE}" pid="31" name="County">
    <vt:lpwstr/>
  </property>
  <property fmtid="{D5CDD505-2E9C-101B-9397-08002B2CF9AE}" pid="32" name="Location">
    <vt:lpwstr/>
  </property>
  <property fmtid="{D5CDD505-2E9C-101B-9397-08002B2CF9AE}" pid="33" name="IsClientPortalUser">
    <vt:lpwstr>False</vt:lpwstr>
  </property>
  <property fmtid="{D5CDD505-2E9C-101B-9397-08002B2CF9AE}" pid="34" name="DateTimeOpened">
    <vt:lpwstr>12/4/2025 2:22:18 PM</vt:lpwstr>
  </property>
  <property fmtid="{D5CDD505-2E9C-101B-9397-08002B2CF9AE}" pid="35" name="OpenedFrom">
    <vt:lpwstr>[object Object]</vt:lpwstr>
  </property>
  <property fmtid="{D5CDD505-2E9C-101B-9397-08002B2CF9AE}" pid="36" name="RequestId">
    <vt:i4>9740</vt:i4>
  </property>
  <property fmtid="{D5CDD505-2E9C-101B-9397-08002B2CF9AE}" pid="37" name="IsWorkpaperRequest">
    <vt:lpwstr>0</vt:lpwstr>
  </property>
  <property fmtid="{D5CDD505-2E9C-101B-9397-08002B2CF9AE}" pid="38" name="IsGetTemplateFromServer">
    <vt:lpwstr>0</vt:lpwstr>
  </property>
  <property fmtid="{D5CDD505-2E9C-101B-9397-08002B2CF9AE}" pid="39" name="isCustomTemplate">
    <vt:bool>false</vt:bool>
  </property>
  <property fmtid="{D5CDD505-2E9C-101B-9397-08002B2CF9AE}" pid="40" name="Edit">
    <vt:lpwstr>1</vt:lpwstr>
  </property>
  <property fmtid="{D5CDD505-2E9C-101B-9397-08002B2CF9AE}" pid="41" name="ReadNotes">
    <vt:lpwstr>1</vt:lpwstr>
  </property>
  <property fmtid="{D5CDD505-2E9C-101B-9397-08002B2CF9AE}" pid="42" name="EditNotes">
    <vt:lpwstr>1</vt:lpwstr>
  </property>
  <property fmtid="{D5CDD505-2E9C-101B-9397-08002B2CF9AE}" pid="43" name="DeleteNotes">
    <vt:lpwstr>1</vt:lpwstr>
  </property>
  <property fmtid="{D5CDD505-2E9C-101B-9397-08002B2CF9AE}" pid="44" name="DocsUpload ">
    <vt:lpwstr>1</vt:lpwstr>
  </property>
  <property fmtid="{D5CDD505-2E9C-101B-9397-08002B2CF9AE}" pid="45" name="SecurityToken">
    <vt:lpwstr>eeVy4exk6e6ucXVp7vTl8u9A9GdpLmPvbS5jbyExsi~~wtC~~yMDI1oDG0urKyOjO1rrc5MKFvPcFE2aHv9T1BRNkh7/ftvbE=</vt:lpwstr>
  </property>
  <property fmtid="{D5CDD505-2E9C-101B-9397-08002B2CF9AE}" pid="46" name="DisplaySheetTabs">
    <vt:bool>true</vt:bool>
  </property>
</Properties>
</file>