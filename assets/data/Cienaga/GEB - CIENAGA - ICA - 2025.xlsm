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eb-my.sharepoint.com/personal/impuestos_geb_com_co/Documents/Declaraciones Periódicas/GEB/Proyecto KPI Calidad/Pruebas de Validador de Calidad/Cienaga/"/>
    </mc:Choice>
  </mc:AlternateContent>
  <xr:revisionPtr revIDLastSave="22" documentId="8_{C0C8145F-0ED2-4BC7-991B-78D8186F000A}" xr6:coauthVersionLast="47" xr6:coauthVersionMax="47" xr10:uidLastSave="{C92266A6-673C-4AD1-B1EE-A7FAC9DBDCFD}"/>
  <bookViews>
    <workbookView xWindow="-120" yWindow="-120" windowWidth="29040" windowHeight="15720" tabRatio="854" activeTab="2" xr2:uid="{00000000-000D-0000-FFFF-FFFF00000000}"/>
  </bookViews>
  <sheets>
    <sheet name="Admin" sheetId="2" r:id="rId1"/>
    <sheet name="Portada" sheetId="1" r:id="rId2"/>
    <sheet name="Formulario" sheetId="53" r:id="rId3"/>
    <sheet name="DS_INTERNAL_SNIP_STORAGE" sheetId="47" state="veryHidden" r:id="rId4"/>
    <sheet name="DS_INTERNAL_SETTINGS_STORAGE" sheetId="48" state="veryHidden" r:id="rId5"/>
    <sheet name="DS_INTERNAL_DOCGROUP_STORAGE" sheetId="49" state="veryHidden" r:id="rId6"/>
    <sheet name="DS_INTERNAL_DOCUMENT_STORAGE" sheetId="50" state="veryHidden" r:id="rId7"/>
    <sheet name="Reporte" sheetId="45" r:id="rId8"/>
  </sheets>
  <externalReferences>
    <externalReference r:id="rId9"/>
    <externalReference r:id="rId10"/>
  </externalReferences>
  <definedNames>
    <definedName name="___R" hidden="1">{#N/A,#N/A,FALSE,"GRAFICO";#N/A,#N/A,FALSE,"CAJA (2)";#N/A,#N/A,FALSE,"TERCEROS-PROMEDIO";#N/A,#N/A,FALSE,"CAJA";#N/A,#N/A,FALSE,"INGRESOS1995-2003";#N/A,#N/A,FALSE,"GASTOS1995-2003"}</definedName>
    <definedName name="_fall" hidden="1">#REF!</definedName>
    <definedName name="_Fill" hidden="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Parse_Out" hidden="1">#REF!</definedName>
    <definedName name="_R" hidden="1">{#N/A,#N/A,FALSE,"GRAFICO";#N/A,#N/A,FALSE,"CAJA (2)";#N/A,#N/A,FALSE,"TERCEROS-PROMEDIO";#N/A,#N/A,FALSE,"CAJA";#N/A,#N/A,FALSE,"INGRESOS1995-2003";#N/A,#N/A,FALSE,"GASTOS1995-2003"}</definedName>
    <definedName name="_Regression_Int" hidden="1">1</definedName>
    <definedName name="_Sort" hidden="1">#REF!</definedName>
    <definedName name="_xleta.IF" hidden="1">#NAME?</definedName>
    <definedName name="_xleta.IFERROR" hidden="1">#NAME?</definedName>
    <definedName name="_xleta.MIN" hidden="1">#NAME?</definedName>
    <definedName name="_xleta.ROUND" hidden="1">#NAME?</definedName>
    <definedName name="aa" hidden="1">#REF!</definedName>
    <definedName name="AAAA" hidden="1">{#N/A,#N/A,FALSE,"Aging Summary";#N/A,#N/A,FALSE,"Ratio Analysis";#N/A,#N/A,FALSE,"Test 120 Day Accts";#N/A,#N/A,FALSE,"Tickmarks"}</definedName>
    <definedName name="AccessDatabase" hidden="1">"F:\AndersonLegal\Modificado\ANEXOC2000 PARA SOCIEDADES.mdb"</definedName>
    <definedName name="ACT1_DEV">#REF!</definedName>
    <definedName name="ACT1_N.OP">#REF!</definedName>
    <definedName name="ACT1_OP">#REF!</definedName>
    <definedName name="ACT10_DEV">#REF!</definedName>
    <definedName name="ACT10_N.OP">#REF!</definedName>
    <definedName name="ACT10_OP">#REF!</definedName>
    <definedName name="ACT11_DEV">#REF!</definedName>
    <definedName name="ACT11_N.OP">#REF!</definedName>
    <definedName name="ACT11_OP">#REF!</definedName>
    <definedName name="ACT12_DEV">#REF!</definedName>
    <definedName name="ACT12_N.OP">#REF!</definedName>
    <definedName name="ACT12_OP">#REF!</definedName>
    <definedName name="ACT13_DEV">#REF!</definedName>
    <definedName name="ACT13_N.OP">#REF!</definedName>
    <definedName name="ACT13_OP">#REF!</definedName>
    <definedName name="ACT14_DEV">#REF!</definedName>
    <definedName name="ACT14_N.OP">#REF!</definedName>
    <definedName name="ACT14_OP">#REF!</definedName>
    <definedName name="ACT15_DEV">#REF!</definedName>
    <definedName name="ACT15_N.OP">#REF!</definedName>
    <definedName name="ACT15_OP">#REF!</definedName>
    <definedName name="ACT2_DEV">#REF!</definedName>
    <definedName name="ACT2_N.OP">#REF!</definedName>
    <definedName name="ACT2_OP">#REF!</definedName>
    <definedName name="ACT3_DEV">#REF!</definedName>
    <definedName name="ACT3_N.OP">#REF!</definedName>
    <definedName name="ACT3_OP">#REF!</definedName>
    <definedName name="ACT4_DEV">#REF!</definedName>
    <definedName name="ACT4_N.OP">#REF!</definedName>
    <definedName name="ACT4_OP">#REF!</definedName>
    <definedName name="ACT5_DEV">#REF!</definedName>
    <definedName name="ACT5_N.OP">#REF!</definedName>
    <definedName name="ACT5_OP">#REF!</definedName>
    <definedName name="ACT6_DEV">#REF!</definedName>
    <definedName name="ACT6_N.OP">#REF!</definedName>
    <definedName name="ACT6_OP">#REF!</definedName>
    <definedName name="ACT7_DEV">#REF!</definedName>
    <definedName name="ACT7_N.OP">#REF!</definedName>
    <definedName name="ACT7_OP">#REF!</definedName>
    <definedName name="ACT8_DEV">#REF!</definedName>
    <definedName name="ACT8_N.OP">#REF!</definedName>
    <definedName name="ACT8_OP">#REF!</definedName>
    <definedName name="ACT9_DEV">#REF!</definedName>
    <definedName name="ACT9_N.OP">#REF!</definedName>
    <definedName name="ACT9_OP">#REF!</definedName>
    <definedName name="adfadsfsa" hidden="1">{#N/A,#N/A,FALSE,"GRAFICO";#N/A,#N/A,FALSE,"CAJA (2)";#N/A,#N/A,FALSE,"TERCEROS-PROMEDIO";#N/A,#N/A,FALSE,"CAJA";#N/A,#N/A,FALSE,"INGRESOS1995-2003";#N/A,#N/A,FALSE,"GASTOS1995-2003"}</definedName>
    <definedName name="Adress">Admin!$B$12</definedName>
    <definedName name="AJUSTADO" hidden="1">{"'S. C. B.'!$E$207"}</definedName>
    <definedName name="All_Divisions" hidden="1">#REF!</definedName>
    <definedName name="Analyst" hidden="1">#REF!</definedName>
    <definedName name="ANULAR" hidden="1">{"'S. C. B.'!$E$207"}</definedName>
    <definedName name="_xlnm.Print_Area" localSheetId="2">Formulario!$A$1:$AX$64</definedName>
    <definedName name="ARRENDAM1" hidden="1">{#N/A,#N/A,FALSE,"Aging Summary";#N/A,#N/A,FALSE,"Ratio Analysis";#N/A,#N/A,FALSE,"Test 120 Day Accts";#N/A,#N/A,FALSE,"Tickmarks"}</definedName>
    <definedName name="ARRENDAMIENTO" hidden="1">{#N/A,#N/A,FALSE,"Aging Summary";#N/A,#N/A,FALSE,"Ratio Analysis";#N/A,#N/A,FALSE,"Test 120 Day Accts";#N/A,#N/A,FALSE,"Tickmarks"}</definedName>
    <definedName name="ARRENDAMIENTOS" hidden="1">{#N/A,#N/A,FALSE,"Aging Summary";#N/A,#N/A,FALSE,"Ratio Analysis";#N/A,#N/A,FALSE,"Test 120 Day Accts";#N/A,#N/A,FALSE,"Tickmarks"}</definedName>
    <definedName name="AS2DocOpenMode" hidden="1">"AS2DocumentEdit"</definedName>
    <definedName name="asdf" hidden="1">{#N/A,#N/A,FALSE,"GRAFICO";#N/A,#N/A,FALSE,"CAJA (2)";#N/A,#N/A,FALSE,"TERCEROS-PROMEDIO";#N/A,#N/A,FALSE,"CAJA";#N/A,#N/A,FALSE,"INGRESOS1995-2003";#N/A,#N/A,FALSE,"GASTOS1995-2003"}</definedName>
    <definedName name="B" hidden="1">{"'S. C. B.'!$E$207"}</definedName>
    <definedName name="BB" hidden="1">{"'S. C. B.'!$E$207"}</definedName>
    <definedName name="BBBB" hidden="1">{"PYGT",#N/A,FALSE,"PYG";"ACTIT",#N/A,FALSE,"BCE_GRAL-ACTIVO";"PASIT",#N/A,FALSE,"BCE_GRAL-PASIVO-PATRIM";"CAJAT",#N/A,FALSE,"CAJA"}</definedName>
    <definedName name="BS_Data_Col" hidden="1">#REF!</definedName>
    <definedName name="BSpb" hidden="1">#REF!</definedName>
    <definedName name="Capitalpb" hidden="1">#REF!</definedName>
    <definedName name="Cashpb" hidden="1">#REF!</definedName>
    <definedName name="CDAARA" hidden="1">{"'S. C. B.'!$E$207"}</definedName>
    <definedName name="CFNAL" hidden="1">{"'S. C. B.'!$E$207"}</definedName>
    <definedName name="Change_in_Cash" hidden="1">#REF!</definedName>
    <definedName name="Check_to_Cash" hidden="1">#REF!</definedName>
    <definedName name="Codes">Admin!$B$9</definedName>
    <definedName name="CONCILIACIONELECTROC" hidden="1">{#N/A,#N/A,FALSE,"Aging Summary";#N/A,#N/A,FALSE,"Ratio Analysis";#N/A,#N/A,FALSE,"Test 120 Day Accts";#N/A,#N/A,FALSE,"Tickmarks"}</definedName>
    <definedName name="Contact">Admin!$B$14</definedName>
    <definedName name="CRITERIA" hidden="1">{#N/A,#N/A,FALSE,"GRAFICO";#N/A,#N/A,FALSE,"CAJA (2)";#N/A,#N/A,FALSE,"TERCEROS-PROMEDIO";#N/A,#N/A,FALSE,"CAJA";#N/A,#N/A,FALSE,"INGRESOS1995-2003";#N/A,#N/A,FALSE,"GASTOS1995-2003"}</definedName>
    <definedName name="crt" hidden="1">{#N/A,#N/A,FALSE,"GRAFICO";#N/A,#N/A,FALSE,"CAJA (2)";#N/A,#N/A,FALSE,"TERCEROS-PROMEDIO";#N/A,#N/A,FALSE,"CAJA";#N/A,#N/A,FALSE,"INGRESOS1995-2003";#N/A,#N/A,FALSE,"GASTOS1995-2003"}</definedName>
    <definedName name="CUADRE" hidden="1">{#N/A,#N/A,FALSE,"Aging Summary";#N/A,#N/A,FALSE,"Ratio Analysis";#N/A,#N/A,FALSE,"Test 120 Day Accts";#N/A,#N/A,FALSE,"Tickmarks"}</definedName>
    <definedName name="DANE">Admin!$R$8</definedName>
    <definedName name="DARWERWETWRET" hidden="1">{"'S. C. B.'!$E$207"}</definedName>
    <definedName name="das" hidden="1">{"'S. C. B.'!$E$207"}</definedName>
    <definedName name="DatacollectionRequesrID">Admin!$B$11</definedName>
    <definedName name="DDDDDD" hidden="1">{"PYGS",#N/A,FALSE,"PYG";"ACTIS",#N/A,FALSE,"BCE_GRAL-ACTIVO";"PASIS",#N/A,FALSE,"BCE_GRAL-PASIVO-PATRIM";"CAJAS",#N/A,FALSE,"CAJA"}</definedName>
    <definedName name="ddddddd" hidden="1">{"PYGS",#N/A,FALSE,"PYG";"ACTIS",#N/A,FALSE,"BCE_GRAL-ACTIVO";"PASIS",#N/A,FALSE,"BCE_GRAL-PASIVO-PATRIM";"CAJAS",#N/A,FALSE,"CAJA"}</definedName>
    <definedName name="de" hidden="1">{"'S. C. B.'!$E$207"}</definedName>
    <definedName name="Dealpb" hidden="1">#REF!</definedName>
    <definedName name="DEOL" hidden="1">{"'S. C. B.'!$E$207"}</definedName>
    <definedName name="Depreciation" hidden="1">#REF!</definedName>
    <definedName name="DepreciationPB" hidden="1">#REF!</definedName>
    <definedName name="DEVOLUCIONES" hidden="1">{"'S. C. B.'!$E$207"}</definedName>
    <definedName name="dfghj" hidden="1">#REF!</definedName>
    <definedName name="DISTRIBUCION" hidden="1">{#N/A,#N/A,FALSE,"GRAFICO";#N/A,#N/A,FALSE,"CAJA (2)";#N/A,#N/A,FALSE,"TERCEROS-PROMEDIO";#N/A,#N/A,FALSE,"CAJA";#N/A,#N/A,FALSE,"INGRESOS1995-2003";#N/A,#N/A,FALSE,"GASTOS1995-2003"}</definedName>
    <definedName name="Div_Inc_pb" hidden="1">#REF!</definedName>
    <definedName name="DivApb" hidden="1">#REF!</definedName>
    <definedName name="DivBpb" hidden="1">#REF!</definedName>
    <definedName name="DivCpb" hidden="1">#REF!</definedName>
    <definedName name="DivDpb" hidden="1">#REF!</definedName>
    <definedName name="DivEpb" hidden="1">#REF!</definedName>
    <definedName name="DivFpb" hidden="1">#REF!</definedName>
    <definedName name="DivGpb" hidden="1">#REF!</definedName>
    <definedName name="DivHpb" hidden="1">#REF!</definedName>
    <definedName name="divi" hidden="1">{"'S. C. B.'!$E$207"}</definedName>
    <definedName name="Divisional_Toggle" hidden="1">#REF!</definedName>
    <definedName name="Duedate">Admin!$B$15</definedName>
    <definedName name="DZ.Main" hidden="1">#REF!</definedName>
    <definedName name="electricaribeLP" hidden="1">{#N/A,#N/A,FALSE,"Aging Summary";#N/A,#N/A,FALSE,"Ratio Analysis";#N/A,#N/A,FALSE,"Test 120 Day Accts";#N/A,#N/A,FALSE,"Tickmarks"}</definedName>
    <definedName name="EntityID">Admin!$B$2</definedName>
    <definedName name="EntityName">Admin!$B$3</definedName>
    <definedName name="ESCENARIO" hidden="1">{#N/A,#N/A,FALSE,"GRAFICO";#N/A,#N/A,FALSE,"CAJA (2)";#N/A,#N/A,FALSE,"TERCEROS-PROMEDIO";#N/A,#N/A,FALSE,"CAJA";#N/A,#N/A,FALSE,"INGRESOS1995-2003";#N/A,#N/A,FALSE,"GASTOS1995-2003"}</definedName>
    <definedName name="Estoquees" hidden="1">{#N/A,#N/A,FALSE,"Aging Summary";#N/A,#N/A,FALSE,"Ratio Analysis";#N/A,#N/A,FALSE,"Test 120 Day Accts";#N/A,#N/A,FALSE,"Tickmarks"}</definedName>
    <definedName name="estoquees1" hidden="1">{#N/A,#N/A,FALSE,"Aging Summary";#N/A,#N/A,FALSE,"Ratio Analysis";#N/A,#N/A,FALSE,"Test 120 Day Accts";#N/A,#N/A,FALSE,"Tickmarks"}</definedName>
    <definedName name="estoquees2" hidden="1">{#N/A,#N/A,FALSE,"Aging Summary";#N/A,#N/A,FALSE,"Ratio Analysis";#N/A,#N/A,FALSE,"Test 120 Day Accts";#N/A,#N/A,FALSE,"Tickmarks"}</definedName>
    <definedName name="ev.Calculation" hidden="1">-4135</definedName>
    <definedName name="ev.Initialized" hidden="1">FALSE</definedName>
    <definedName name="Executivepb" hidden="1">#REF!</definedName>
    <definedName name="Factpb" hidden="1">#REF!</definedName>
    <definedName name="Factpb2" hidden="1">#REF!</definedName>
    <definedName name="FIDUCIASOCTUBRE" hidden="1">{#N/A,#N/A,FALSE,"Aging Summary";#N/A,#N/A,FALSE,"Ratio Analysis";#N/A,#N/A,FALSE,"Test 120 Day Accts";#N/A,#N/A,FALSE,"Tickmarks"}</definedName>
    <definedName name="Financialpb" hidden="1">#REF!</definedName>
    <definedName name="Financialpb2" hidden="1">#REF!</definedName>
    <definedName name="FormsFlowWorkbook" hidden="1">Admin!$A$1</definedName>
    <definedName name="FR" hidden="1">{"'S. C. B.'!$E$207"}</definedName>
    <definedName name="g" hidden="1">#REF!</definedName>
    <definedName name="Gastos" hidden="1">{#N/A,#N/A,FALSE,"GRAFICO";#N/A,#N/A,FALSE,"CAJA (2)";#N/A,#N/A,FALSE,"TERCEROS-PROMEDIO";#N/A,#N/A,FALSE,"CAJA";#N/A,#N/A,FALSE,"INGRESOS1995-2003";#N/A,#N/A,FALSE,"GASTOS1995-2003"}</definedName>
    <definedName name="gggg" hidden="1">#REF!</definedName>
    <definedName name="H" hidden="1">{"PYGS",#N/A,FALSE,"PYG";"ACTIS",#N/A,FALSE,"BCE_GRAL-ACTIVO";"PASIS",#N/A,FALSE,"BCE_GRAL-PASIVO-PATRIM";"CAJAS",#N/A,FALSE,"CAJA"}</definedName>
    <definedName name="HG" hidden="1">{#N/A,#N/A,FALSE,"Aging Summary";#N/A,#N/A,FALSE,"Ratio Analysis";#N/A,#N/A,FALSE,"Test 120 Day Accts";#N/A,#N/A,FALSE,"Tickmarks"}</definedName>
    <definedName name="hhhhhh" hidden="1">{"PYGT",#N/A,FALSE,"PYG";"ACTIT",#N/A,FALSE,"BCE_GRAL-ACTIVO";"PASIT",#N/A,FALSE,"BCE_GRAL-PASIVO-PATRIM";"CAJAT",#N/A,FALSE,"CAJA"}</definedName>
    <definedName name="hhhhhhhhhhh" hidden="1">{"PYGS",#N/A,FALSE,"PYG";"ACTIS",#N/A,FALSE,"BCE_GRAL-ACTIVO";"PASIS",#N/A,FALSE,"BCE_GRAL-PASIVO-PATRIM";"CAJAS",#N/A,FALSE,"CAJA"}</definedName>
    <definedName name="hhhhhhhhhhhh" hidden="1">{"PYGT",#N/A,FALSE,"PYG";"ACTIT",#N/A,FALSE,"BCE_GRAL-ACTIVO";"PASIT",#N/A,FALSE,"BCE_GRAL-PASIVO-PATRIM";"CAJAT",#N/A,FALSE,"CAJA"}</definedName>
    <definedName name="HisYear_0" hidden="1">#REF!</definedName>
    <definedName name="HisYear_1" hidden="1">#REF!</definedName>
    <definedName name="HisYear_2" hidden="1">#REF!</definedName>
    <definedName name="HisYear_3" hidden="1">#REF!</definedName>
    <definedName name="hn.Aggregate" hidden="1">#REF!</definedName>
    <definedName name="hn.CompanyInfo" hidden="1">#REF!</definedName>
    <definedName name="hn.CompanyName" hidden="1">#REF!</definedName>
    <definedName name="hn.CompanyUCN" hidden="1">#REF!</definedName>
    <definedName name="hn.ConvertZero1" hidden="1">#REF!,#REF!,#REF!,#REF!,#REF!,#REF!,#REF!,#REF!,#REF!,#REF!</definedName>
    <definedName name="hn.ConvertZero2" hidden="1">#REF!,#REF!,#REF!,#REF!,#REF!,#REF!,#REF!,#REF!</definedName>
    <definedName name="hn.ConvertZero3" hidden="1">#REF!,#REF!,#REF!,#REF!,#REF!</definedName>
    <definedName name="hn.ConvertZero4" hidden="1">#REF!,#REF!,#REF!,#REF!,#REF!,#REF!,#REF!,#REF!</definedName>
    <definedName name="hn.ConvertZeroUnhide1" hidden="1">#REF!,#REF!,#REF!</definedName>
    <definedName name="hn.Delete015" hidden="1">#REF!,#REF!,#REF!,#REF!</definedName>
    <definedName name="hn.DomesticFlag" hidden="1">#REF!</definedName>
    <definedName name="hn.DZ_MultByFXRates" hidden="1">#REF!,#REF!,#REF!,#REF!</definedName>
    <definedName name="hn.dz_ThouToMil" hidden="1">#REF!,#REF!,#REF!,#REF!,#REF!</definedName>
    <definedName name="hn.ExtDb" hidden="1">FALSE</definedName>
    <definedName name="hn.IssuerID" hidden="1">#REF!</definedName>
    <definedName name="hn.IssuerNameShort" hidden="1">#REF!</definedName>
    <definedName name="hn.LTM_CS" hidden="1">#REF!,#REF!,#REF!,#REF!,#REF!,#REF!</definedName>
    <definedName name="hn.LTM_Misc" hidden="1">#REF!,#REF!,#REF!</definedName>
    <definedName name="hn.LTM_MultByFXRates" hidden="1">#REF!,#REF!,#REF!,#REF!,#REF!,#REF!,#REF!</definedName>
    <definedName name="hn.ModelType" hidden="1">"DEAL"</definedName>
    <definedName name="hn.ModelVersion" hidden="1">1</definedName>
    <definedName name="hn.MultbyFXRates" hidden="1">#REF!,#REF!,#REF!,#REF!,#REF!,#REF!,#REF!</definedName>
    <definedName name="hn.MultByFXRates1" hidden="1">#REF!,#REF!,#REF!,#REF!,#REF!</definedName>
    <definedName name="hn.MultByFXRates2" hidden="1">#REF!,#REF!,#REF!,#REF!,#REF!</definedName>
    <definedName name="hn.MultByFXRates3" hidden="1">#REF!,#REF!,#REF!,#REF!,#REF!</definedName>
    <definedName name="hn.MultbyFxrates4" hidden="1">#REF!,#REF!,#REF!,#REF!,#REF!,#REF!,#REF!</definedName>
    <definedName name="hn.multbyfxrates5" hidden="1">#REF!,#REF!,#REF!,#REF!,#REF!</definedName>
    <definedName name="hn.multbyfxrates6" hidden="1">#REF!,#REF!,#REF!,#REF!,#REF!</definedName>
    <definedName name="hn.multbyfxrates7" hidden="1">#REF!,#REF!,#REF!,#REF!,#REF!</definedName>
    <definedName name="hn.MultByFXRatesBot1" hidden="1">#REF!,#REF!,#REF!,#REF!,#REF!,#REF!,#REF!,#REF!,#REF!,#REF!,#REF!,#REF!</definedName>
    <definedName name="hn.MultByFXRatesBot2" hidden="1">#REF!,#REF!,#REF!,#REF!,#REF!,#REF!,#REF!,#REF!,#REF!,#REF!,#REF!,#REF!</definedName>
    <definedName name="hn.MultByFXRatesBot3" hidden="1">#REF!,#REF!,#REF!,#REF!,#REF!,#REF!,#REF!,#REF!,#REF!,#REF!,#REF!,#REF!</definedName>
    <definedName name="hn.MultByFXRatesBot4" hidden="1">#REF!,#REF!,#REF!,#REF!,#REF!,#REF!,#REF!,#REF!,#REF!,#REF!,#REF!,#REF!,#REF!</definedName>
    <definedName name="hn.MultByFXRatesBot5" hidden="1">#REF!,#REF!,#REF!,#REF!,#REF!,#REF!,#REF!,#REF!,#REF!,#REF!,#REF!</definedName>
    <definedName name="hn.MultByFXRatesBot6" hidden="1">#REF!,#REF!,#REF!,#REF!,#REF!,#REF!,#REF!,#REF!,#REF!,#REF!,#REF!</definedName>
    <definedName name="hn.MultByFXRatesBot7" hidden="1">#REF!,#REF!,#REF!,#REF!,#REF!,#REF!,#REF!,#REF!,#REF!,#REF!,#REF!</definedName>
    <definedName name="hn.MultByFXRatesTop1" hidden="1">#REF!,#REF!,#REF!,#REF!,#REF!,#REF!,#REF!,#REF!,#REF!,#REF!,#REF!,#REF!</definedName>
    <definedName name="hn.MultByFXRatesTop2" hidden="1">#REF!,#REF!,#REF!,#REF!,#REF!,#REF!,#REF!,#REF!,#REF!,#REF!,#REF!,#REF!,#REF!,#REF!,#REF!</definedName>
    <definedName name="hn.MultByFXRatesTop3" hidden="1">#REF!,#REF!,#REF!,#REF!,#REF!,#REF!,#REF!,#REF!,#REF!,#REF!,#REF!,#REF!,#REF!,#REF!,#REF!</definedName>
    <definedName name="hn.MultByFXRatesTop4" hidden="1">#REF!,#REF!,#REF!,#REF!,#REF!,#REF!,#REF!,#REF!,#REF!,#REF!,#REF!,#REF!,#REF!,#REF!,#REF!</definedName>
    <definedName name="hn.MultByFXRatesTop5" hidden="1">#REF!,#REF!,#REF!,#REF!,#REF!,#REF!,#REF!,#REF!,#REF!,#REF!,#REF!,#REF!</definedName>
    <definedName name="hn.MultByFXRatesTop6" hidden="1">#REF!,#REF!,#REF!,#REF!,#REF!,#REF!,#REF!,#REF!,#REF!,#REF!,#REF!,#REF!,#REF!,#REF!,#REF!</definedName>
    <definedName name="hn.MultByFXRatesTop7" hidden="1">#REF!,#REF!,#REF!,#REF!,#REF!,#REF!,#REF!,#REF!,#REF!,#REF!,#REF!,#REF!,#REF!,#REF!,#REF!</definedName>
    <definedName name="hn.NoUpload" hidden="1">0</definedName>
    <definedName name="hn.ObligorGrade" hidden="1">#REF!</definedName>
    <definedName name="hn.ParentName" hidden="1">#REF!</definedName>
    <definedName name="hn.ParentUCN" hidden="1">#REF!</definedName>
    <definedName name="hn.PrivateEndMonth" hidden="1">#REF!</definedName>
    <definedName name="hn.PrivateLTM" hidden="1">#REF!</definedName>
    <definedName name="hn.PrivateQuarter" hidden="1">#REF!</definedName>
    <definedName name="hn.PrivateYear" hidden="1">#REF!</definedName>
    <definedName name="hn.PrivateYearEnd" hidden="1">#REF!</definedName>
    <definedName name="hn.PublicFlag" hidden="1">#REF!</definedName>
    <definedName name="hn.ReviewDescription" hidden="1">#REF!</definedName>
    <definedName name="hn.ReviewID" hidden="1">#REF!</definedName>
    <definedName name="hn.ReviewYear" hidden="1">#REF!</definedName>
    <definedName name="hn.RolledForward" hidden="1">FALSE</definedName>
    <definedName name="hn.Segment" hidden="1">#REF!</definedName>
    <definedName name="hn.SegmentDesc" hidden="1">#REF!</definedName>
    <definedName name="hn.SegmentID" hidden="1">#REF!</definedName>
    <definedName name="hn.Ticker" hidden="1">#REF!</definedName>
    <definedName name="hn.UserLogin" hidden="1">#REF!</definedName>
    <definedName name="hn.YearLabel" hidden="1">#REF!</definedName>
    <definedName name="HTML_CodePage" hidden="1">1252</definedName>
    <definedName name="HTML_Control" hidden="1">{"'S. C. B.'!$E$207"}</definedName>
    <definedName name="HTML_Description" hidden="1">""</definedName>
    <definedName name="HTML_Email" hidden="1">""</definedName>
    <definedName name="HTML_Header" hidden="1">"S. C. B."</definedName>
    <definedName name="HTML_LastUpdate" hidden="1">"20/6/00"</definedName>
    <definedName name="HTML_LineAfter" hidden="1">FALSE</definedName>
    <definedName name="HTML_LineBefore" hidden="1">FALSE</definedName>
    <definedName name="HTML_Name" hidden="1">"Nery Tuirán"</definedName>
    <definedName name="HTML_OBDlg2" hidden="1">TRUE</definedName>
    <definedName name="HTML_OBDlg4" hidden="1">TRUE</definedName>
    <definedName name="HTML_OS" hidden="1">0</definedName>
    <definedName name="HTML_PathFile" hidden="1">"A:\HTML.htm"</definedName>
    <definedName name="HTML_Title" hidden="1">"FIRMAS COMISIONISTAS"</definedName>
    <definedName name="I" hidden="1">{"PYGT",#N/A,FALSE,"PYG";"ACTIT",#N/A,FALSE,"BCE_GRAL-ACTIVO";"PASIT",#N/A,FALSE,"BCE_GRAL-PASIVO-PATRIM";"CAJAT",#N/A,FALSE,"CAJA"}</definedName>
    <definedName name="iiiiiiiiiiiiii" hidden="1">{"PYGT",#N/A,FALSE,"PYG";"ACTIT",#N/A,FALSE,"BCE_GRAL-ACTIVO";"PASIT",#N/A,FALSE,"BCE_GRAL-PASIVO-PATRIM";"CAJAT",#N/A,FALSE,"CAJA"}</definedName>
    <definedName name="ij" hidden="1">{#N/A,#N/A,FALSE,"Aging Summary";#N/A,#N/A,FALSE,"Ratio Analysis";#N/A,#N/A,FALSE,"Test 120 Day Accts";#N/A,#N/A,FALSE,"Tickmarks"}</definedName>
    <definedName name="Incomepb" hidden="1">#REF!</definedName>
    <definedName name="INTERESES" hidden="1">{#N/A,#N/A,FALSE,"Aging Summary";#N/A,#N/A,FALSE,"Ratio Analysis";#N/A,#N/A,FALSE,"Test 120 Day Accts";#N/A,#N/A,FALSE,"Tickmarks"}</definedName>
    <definedName name="IsColHidden" hidden="1">FALSE</definedName>
    <definedName name="IsLTMColHidden" hidden="1">FALSE</definedName>
    <definedName name="IsSecureRevolver" hidden="1">#REF!</definedName>
    <definedName name="IsSecureSenior1" hidden="1">#REF!</definedName>
    <definedName name="IsSecureSenior2" hidden="1">#REF!</definedName>
    <definedName name="IsSecureSenior3" hidden="1">#REF!</definedName>
    <definedName name="IsSecureSenior4" hidden="1">#REF!</definedName>
    <definedName name="IsSecureSenior5" hidden="1">#REF!</definedName>
    <definedName name="IsSecureSenior6" hidden="1">#REF!</definedName>
    <definedName name="IsSecureSenior7" hidden="1">#REF!</definedName>
    <definedName name="JE" hidden="1">{"'S. C. B.'!$E$207"}</definedName>
    <definedName name="jhjj" hidden="1">{"'S. C. B.'!$E$207"}</definedName>
    <definedName name="JJAJAJJ" hidden="1">{"'S. C. B.'!$E$207"}</definedName>
    <definedName name="juan" hidden="1">#REF!</definedName>
    <definedName name="JULIO" hidden="1">{"'S. C. B.'!$E$207"}</definedName>
    <definedName name="JUNIO" hidden="1">{"'S. C. B.'!$E$207"}</definedName>
    <definedName name="Jurisdiction">Admin!$B$8</definedName>
    <definedName name="JV" hidden="1">{"'S. C. B.'!$E$207"}</definedName>
    <definedName name="K" hidden="1">{"PYGT",#N/A,FALSE,"PYG";"ACTIT",#N/A,FALSE,"BCE_GRAL-ACTIVO";"PASIT",#N/A,FALSE,"BCE_GRAL-PASIVO-PATRIM";"CAJAT",#N/A,FALSE,"CAJA"}</definedName>
    <definedName name="K2_WBEVMODE" hidden="1">-1</definedName>
    <definedName name="KJ" hidden="1">{#N/A,#N/A,FALSE,"Aging Summary";#N/A,#N/A,FALSE,"Ratio Analysis";#N/A,#N/A,FALSE,"Test 120 Day Accts";#N/A,#N/A,FALSE,"Tickmarks"}</definedName>
    <definedName name="KK" hidden="1">{#N/A,#N/A,FALSE,"Aging Summary";#N/A,#N/A,FALSE,"Ratio Analysis";#N/A,#N/A,FALSE,"Test 120 Day Accts";#N/A,#N/A,FALSE,"Tickmarks"}</definedName>
    <definedName name="kkkkkkkkkkkkkkk" hidden="1">{"PYGT",#N/A,FALSE,"PYG";"ACTIT",#N/A,FALSE,"BCE_GRAL-ACTIVO";"PASIT",#N/A,FALSE,"BCE_GRAL-PASIVO-PATRIM";"CAJAT",#N/A,FALSE,"CAJA"}</definedName>
    <definedName name="Left_Header" hidden="1">#REF!</definedName>
    <definedName name="LJ" hidden="1">{"'S. C. B.'!$E$207"}</definedName>
    <definedName name="ll" hidden="1">{#N/A,#N/A,FALSE,"Aging Summary";#N/A,#N/A,FALSE,"Ratio Analysis";#N/A,#N/A,FALSE,"Test 120 Day Accts";#N/A,#N/A,FALSE,"Tickmarks"}</definedName>
    <definedName name="LM" hidden="1">{#N/A,#N/A,FALSE,"Aging Summary";#N/A,#N/A,FALSE,"Ratio Analysis";#N/A,#N/A,FALSE,"Test 120 Day Accts";#N/A,#N/A,FALSE,"Tickmarks"}</definedName>
    <definedName name="LOGISTICA" hidden="1">{"'S. C. B.'!$E$207"}</definedName>
    <definedName name="m" hidden="1">{#N/A,#N/A,FALSE,"GRAFICO";#N/A,#N/A,FALSE,"CAJA (2)";#N/A,#N/A,FALSE,"TERCEROS-PROMEDIO";#N/A,#N/A,FALSE,"CAJA";#N/A,#N/A,FALSE,"INGRESOS1995-2003";#N/A,#N/A,FALSE,"GASTOS1995-2003"}</definedName>
    <definedName name="MarkP" hidden="1">{#N/A,#N/A,FALSE,"GRAFICO";#N/A,#N/A,FALSE,"CAJA (2)";#N/A,#N/A,FALSE,"TERCEROS-PROMEDIO";#N/A,#N/A,FALSE,"CAJA";#N/A,#N/A,FALSE,"INGRESOS1995-2003";#N/A,#N/A,FALSE,"GASTOS1995-2003"}</definedName>
    <definedName name="memorandodepago.block">#REF!</definedName>
    <definedName name="MIOJAKDJKA" hidden="1">{"'S. C. B.'!$E$207"}</definedName>
    <definedName name="MMMM" hidden="1">{#N/A,#N/A,FALSE,"GRAFICO";#N/A,#N/A,FALSE,"CAJA (2)";#N/A,#N/A,FALSE,"TERCEROS-PROMEDIO";#N/A,#N/A,FALSE,"CAJA";#N/A,#N/A,FALSE,"INGRESOS1995-2003";#N/A,#N/A,FALSE,"GASTOS1995-2003"}</definedName>
    <definedName name="MMMMM" hidden="1">{"PYGT",#N/A,FALSE,"PYG";"ACTIT",#N/A,FALSE,"BCE_GRAL-ACTIVO";"PASIT",#N/A,FALSE,"BCE_GRAL-PASIVO-PATRIM";"CAJAT",#N/A,FALSE,"CAJA"}</definedName>
    <definedName name="mmmmmmmmmm" hidden="1">{"PYGT",#N/A,FALSE,"PYG";"ACTIT",#N/A,FALSE,"BCE_GRAL-ACTIVO";"PASIT",#N/A,FALSE,"BCE_GRAL-PASIVO-PATRIM";"CAJAT",#N/A,FALSE,"CAJA"}</definedName>
    <definedName name="mmmmmmmmmmmmm" hidden="1">{#N/A,#N/A,FALSE,"GRAFICO";#N/A,#N/A,FALSE,"CAJA (2)";#N/A,#N/A,FALSE,"TERCEROS-PROMEDIO";#N/A,#N/A,FALSE,"CAJA";#N/A,#N/A,FALSE,"INGRESOS1995-2003";#N/A,#N/A,FALSE,"GASTOS1995-2003"}</definedName>
    <definedName name="MN" hidden="1">{#N/A,#N/A,FALSE,"Aging Summary";#N/A,#N/A,FALSE,"Ratio Analysis";#N/A,#N/A,FALSE,"Test 120 Day Accts";#N/A,#N/A,FALSE,"Tickmarks"}</definedName>
    <definedName name="n" hidden="1">#REF!</definedName>
    <definedName name="nn" hidden="1">#REF!</definedName>
    <definedName name="NNN" hidden="1">{"PYGS",#N/A,FALSE,"PYG";"ACTIS",#N/A,FALSE,"BCE_GRAL-ACTIVO";"PASIS",#N/A,FALSE,"BCE_GRAL-PASIVO-PATRIM";"CAJAS",#N/A,FALSE,"CAJA"}</definedName>
    <definedName name="NNNN" hidden="1">{"PYGT",#N/A,FALSE,"PYG";"ACTIT",#N/A,FALSE,"BCE_GRAL-ACTIVO";"PASIT",#N/A,FALSE,"BCE_GRAL-PASIVO-PATRIM";"CAJAT",#N/A,FALSE,"CAJA"}</definedName>
    <definedName name="NNNNN" hidden="1">{"PYGT",#N/A,FALSE,"PYG";"ACTIT",#N/A,FALSE,"BCE_GRAL-ACTIVO";"PASIT",#N/A,FALSE,"BCE_GRAL-PASIVO-PATRIM";"CAJAT",#N/A,FALSE,"CAJA"}</definedName>
    <definedName name="NO" hidden="1">{"PYGT",#N/A,FALSE,"PYG";"ACTIT",#N/A,FALSE,"BCE_GRAL-ACTIVO";"PASIT",#N/A,FALSE,"BCE_GRAL-PASIVO-PATRIM";"CAJAT",#N/A,FALSE,"CAJA"}</definedName>
    <definedName name="NóminaConfidencial" hidden="1">{#N/A,#N/A,FALSE,"Aging Summary";#N/A,#N/A,FALSE,"Ratio Analysis";#N/A,#N/A,FALSE,"Test 120 Day Accts";#N/A,#N/A,FALSE,"Tickmarks"}</definedName>
    <definedName name="ñl" hidden="1">{#N/A,#N/A,FALSE,"Aging Summary";#N/A,#N/A,FALSE,"Ratio Analysis";#N/A,#N/A,FALSE,"Test 120 Day Accts";#N/A,#N/A,FALSE,"Tickmarks"}</definedName>
    <definedName name="OBS_Data_Col" hidden="1">#REF!</definedName>
    <definedName name="Openingpb" hidden="1">#REF!</definedName>
    <definedName name="OWNER" hidden="1">#REF!</definedName>
    <definedName name="p.BS" hidden="1">#REF!</definedName>
    <definedName name="p.BSAssumptions" hidden="1">#REF!</definedName>
    <definedName name="p.CapStructure" hidden="1">#REF!</definedName>
    <definedName name="p.CashFlow" hidden="1">#REF!</definedName>
    <definedName name="p.Covenants" hidden="1">#REF!</definedName>
    <definedName name="p.Covenants_Titles" hidden="1">#REF!</definedName>
    <definedName name="p.Cover" hidden="1">#REF!</definedName>
    <definedName name="p.DCF" hidden="1">#REF!</definedName>
    <definedName name="p.DCF_Titles" hidden="1">#REF!</definedName>
    <definedName name="p.Depreciation" hidden="1">#REF!</definedName>
    <definedName name="p.DivisionA" hidden="1">#REF!</definedName>
    <definedName name="p.DivisionB" hidden="1">#REF!</definedName>
    <definedName name="p.DivisionC" hidden="1">#REF!</definedName>
    <definedName name="p.DivisionD" hidden="1">#REF!</definedName>
    <definedName name="p.DivisionE" hidden="1">#REF!</definedName>
    <definedName name="p.DivisionF" hidden="1">#REF!</definedName>
    <definedName name="p.DivisionG" hidden="1">#REF!</definedName>
    <definedName name="p.DivisionH" hidden="1">#REF!</definedName>
    <definedName name="p.Executive" hidden="1">#REF!</definedName>
    <definedName name="p.FactSheet" hidden="1">#REF!</definedName>
    <definedName name="p.IRR" hidden="1">#REF!</definedName>
    <definedName name="p.IRR_Titles" hidden="1">#REF!</definedName>
    <definedName name="p.IS" hidden="1">#REF!</definedName>
    <definedName name="p.ISAssumptions" hidden="1">#REF!</definedName>
    <definedName name="p.OpeningBS" hidden="1">#REF!</definedName>
    <definedName name="p.SP" hidden="1">#REF!</definedName>
    <definedName name="p.Summary" hidden="1">#REF!</definedName>
    <definedName name="p.Summary_Titles" hidden="1">#REF!</definedName>
    <definedName name="p.TaxCalculation" hidden="1">#REF!</definedName>
    <definedName name="PARAMETROS">#REF!</definedName>
    <definedName name="particulares1" hidden="1">{#N/A,#N/A,FALSE,"Aging Summary";#N/A,#N/A,FALSE,"Ratio Analysis";#N/A,#N/A,FALSE,"Test 120 Day Accts";#N/A,#N/A,FALSE,"Tickmarks"}</definedName>
    <definedName name="Period">Admin!$B$6</definedName>
    <definedName name="pl" hidden="1">{#N/A,#N/A,FALSE,"Aging Summary";#N/A,#N/A,FALSE,"Ratio Analysis";#N/A,#N/A,FALSE,"Test 120 Day Accts";#N/A,#N/A,FALSE,"Tickmarks"}</definedName>
    <definedName name="PLUG" hidden="1">#REF!</definedName>
    <definedName name="PrintEnd" hidden="1">#REF!</definedName>
    <definedName name="PrintStart" hidden="1">#REF!</definedName>
    <definedName name="PRUEBA" hidden="1">"AS2DocumentBrowse"</definedName>
    <definedName name="qasd" hidden="1">#REF!</definedName>
    <definedName name="r.CashFlow" hidden="1">#REF!</definedName>
    <definedName name="r.Leverage" hidden="1">#REF!</definedName>
    <definedName name="r.Liquidity" hidden="1">#REF!</definedName>
    <definedName name="r.Market" hidden="1">#REF!</definedName>
    <definedName name="r.Profitability" hidden="1">#REF!</definedName>
    <definedName name="r.Summary" hidden="1">#REF!</definedName>
    <definedName name="REA" hidden="1">{"'S. C. B.'!$E$207"}</definedName>
    <definedName name="reajuste" hidden="1">{"'S. C. B.'!$E$207"}</definedName>
    <definedName name="RENTA" hidden="1">{"'S. C. B.'!$E$207"}</definedName>
    <definedName name="reporte.block" localSheetId="2">Formulario!$AB$13:$AB$50</definedName>
    <definedName name="RESUMEN" hidden="1">{"'S. C. B.'!$E$207"}</definedName>
    <definedName name="RF" hidden="1">{#N/A,#N/A,FALSE,"Aging Summary";#N/A,#N/A,FALSE,"Ratio Analysis";#N/A,#N/A,FALSE,"Test 120 Day Accts";#N/A,#N/A,FALSE,"Tickmarks"}</definedName>
    <definedName name="rngShowNames" hidden="1">#REF!</definedName>
    <definedName name="Rows2Unhide" hidden="1">#REF!</definedName>
    <definedName name="rrrrrrrrrrr" hidden="1">{#N/A,#N/A,FALSE,"GRAFICO";#N/A,#N/A,FALSE,"CAJA (2)";#N/A,#N/A,FALSE,"TERCEROS-PROMEDIO";#N/A,#N/A,FALSE,"CAJA";#N/A,#N/A,FALSE,"INGRESOS1995-2003";#N/A,#N/A,FALSE,"GASTOS1995-2003"}</definedName>
    <definedName name="RT" hidden="1">{"'S. C. B.'!$E$207"}</definedName>
    <definedName name="Scenario">Admin!$B$10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um" hidden="1">0</definedName>
    <definedName name="solver_nwt" hidden="1">1</definedName>
    <definedName name="solver_pre" hidden="1">0.000001</definedName>
    <definedName name="solver_scl" hidden="1">0</definedName>
    <definedName name="solver_sho" hidden="1">0</definedName>
    <definedName name="solver_tim" hidden="1">100</definedName>
    <definedName name="solver_tmp" hidden="1">#NULL!</definedName>
    <definedName name="solver_tol" hidden="1">0.05</definedName>
    <definedName name="solver_typ" hidden="1">1</definedName>
    <definedName name="solver_val" hidden="1">999999999</definedName>
    <definedName name="sssssssssss" hidden="1">{#N/A,#N/A,FALSE,"GRAFICO";#N/A,#N/A,FALSE,"CAJA (2)";#N/A,#N/A,FALSE,"TERCEROS-PROMEDIO";#N/A,#N/A,FALSE,"CAJA";#N/A,#N/A,FALSE,"INGRESOS1995-2003";#N/A,#N/A,FALSE,"GASTOS1995-2003"}</definedName>
    <definedName name="Status">Admin!$B$7</definedName>
    <definedName name="Stub" hidden="1">#REF!</definedName>
    <definedName name="Stub_Header1" hidden="1">#REF!</definedName>
    <definedName name="Stub_Header2" hidden="1">#REF!</definedName>
    <definedName name="Stub_Header3" hidden="1">#REF!</definedName>
    <definedName name="t" hidden="1">{"'S. C. B.'!$E$207"}</definedName>
    <definedName name="Taxpb" hidden="1">#REF!</definedName>
    <definedName name="TaxType">Admin!$B$4</definedName>
    <definedName name="TC" hidden="1">{#N/A,#N/A,FALSE,"GRAFICO";#N/A,#N/A,FALSE,"CAJA (2)";#N/A,#N/A,FALSE,"TERCEROS-PROMEDIO";#N/A,#N/A,FALSE,"CAJA";#N/A,#N/A,FALSE,"INGRESOS1995-2003";#N/A,#N/A,FALSE,"GASTOS1995-2003"}</definedName>
    <definedName name="TemplateName">Admin!$B$13</definedName>
    <definedName name="TESV" hidden="1">{"'S. C. B.'!$E$207"}</definedName>
    <definedName name="TextRefCopyRangeCount" hidden="1">27</definedName>
    <definedName name="tid" hidden="1">{"'S. C. B.'!$E$207"}</definedName>
    <definedName name="Titlepb" hidden="1">#REF!</definedName>
    <definedName name="TOTAL1">[1]LiquidacionT!$I$120</definedName>
    <definedName name="TOTAL13">[1]LiquidacionT!$I$228</definedName>
    <definedName name="TOTAL2">[1]LiquidacionT!$I$153</definedName>
    <definedName name="TOTAL3">[1]LiquidacionT!$I$179</definedName>
    <definedName name="TOTAL4">[1]LiquidacionT!$I$198</definedName>
    <definedName name="TOTAL5">[1]LiquidacionT!$I$217</definedName>
    <definedName name="TOTAL6">[1]LiquidacionT!$F$252</definedName>
    <definedName name="TOTAL7">[1]LiquidacionT!$F$283</definedName>
    <definedName name="TOTAL8">[1]LiquidacionT!$F$299</definedName>
    <definedName name="tttttttt" hidden="1">{"PYGT",#N/A,FALSE,"PYG";"ACTIT",#N/A,FALSE,"BCE_GRAL-ACTIVO";"PASIT",#N/A,FALSE,"BCE_GRAL-PASIVO-PATRIM";"CAJAT",#N/A,FALSE,"CAJA"}</definedName>
    <definedName name="ttttttttttt" hidden="1">{"PYGT",#N/A,FALSE,"PYG";"ACTIT",#N/A,FALSE,"BCE_GRAL-ACTIVO";"PASIT",#N/A,FALSE,"BCE_GRAL-PASIVO-PATRIM";"CAJAT",#N/A,FALSE,"CAJA"}</definedName>
    <definedName name="ttttttttttttt" hidden="1">{"PYGT",#N/A,FALSE,"PYG";"ACTIT",#N/A,FALSE,"BCE_GRAL-ACTIVO";"PASIT",#N/A,FALSE,"BCE_GRAL-PASIVO-PATRIM";"CAJAT",#N/A,FALSE,"CAJA"}</definedName>
    <definedName name="Unit" hidden="1">#REF!</definedName>
    <definedName name="VENTA" hidden="1">{"'S. C. B.'!$E$207"}</definedName>
    <definedName name="VENTAS" hidden="1">{"'S. C. B.'!$E$207"}</definedName>
    <definedName name="VTA" hidden="1">{"'S. C. B.'!$E$207"}</definedName>
    <definedName name="wrn.Aging._.and._.Trend._.Analysis." hidden="1">{#N/A,#N/A,FALSE,"Aging Summary";#N/A,#N/A,FALSE,"Ratio Analysis";#N/A,#N/A,FALSE,"Test 120 Day Accts";#N/A,#N/A,FALSE,"Tickmarks"}</definedName>
    <definedName name="wrn.PROYEC." hidden="1">{#N/A,#N/A,FALSE,"GRAFICO";#N/A,#N/A,FALSE,"CAJA (2)";#N/A,#N/A,FALSE,"TERCEROS-PROMEDIO";#N/A,#N/A,FALSE,"CAJA";#N/A,#N/A,FALSE,"INGRESOS1995-2003";#N/A,#N/A,FALSE,"GASTOS1995-2003"}</definedName>
    <definedName name="wrn.SENCILLO." hidden="1">{"PYGS",#N/A,FALSE,"PYG";"ACTIS",#N/A,FALSE,"BCE_GRAL-ACTIVO";"PASIS",#N/A,FALSE,"BCE_GRAL-PASIVO-PATRIM";"CAJAS",#N/A,FALSE,"CAJA"}</definedName>
    <definedName name="wrn.TOTAL." hidden="1">{"PYGT",#N/A,FALSE,"PYG";"ACTIT",#N/A,FALSE,"BCE_GRAL-ACTIVO";"PASIT",#N/A,FALSE,"BCE_GRAL-PASIVO-PATRIM";"CAJAT",#N/A,FALSE,"CAJA"}</definedName>
    <definedName name="XRefColumnsCount" hidden="1">2</definedName>
    <definedName name="XRefCopyRangeCount" hidden="1">2</definedName>
    <definedName name="XRefPasteRangeCount" hidden="1">1</definedName>
    <definedName name="XXX" hidden="1">{#N/A,#N/A,FALSE,"Aging Summary";#N/A,#N/A,FALSE,"Ratio Analysis";#N/A,#N/A,FALSE,"Test 120 Day Accts";#N/A,#N/A,FALSE,"Tickmarks"}</definedName>
    <definedName name="xxxxxx" hidden="1">{#N/A,#N/A,FALSE,"Aging Summary";#N/A,#N/A,FALSE,"Ratio Analysis";#N/A,#N/A,FALSE,"Test 120 Day Accts";#N/A,#N/A,FALSE,"Tickmarks"}</definedName>
    <definedName name="Year">Admin!$B$5</definedName>
    <definedName name="YO" hidden="1">{#N/A,#N/A,FALSE,"GRAFICO";#N/A,#N/A,FALSE,"CAJA (2)";#N/A,#N/A,FALSE,"TERCEROS-PROMEDIO";#N/A,#N/A,FALSE,"CAJA";#N/A,#N/A,FALSE,"INGRESOS1995-2003";#N/A,#N/A,FALSE,"GASTOS1995-2003"}</definedName>
    <definedName name="YY" hidden="1">{#N/A,#N/A,FALSE,"GRAFICO";#N/A,#N/A,FALSE,"CAJA (2)";#N/A,#N/A,FALSE,"TERCEROS-PROMEDIO";#N/A,#N/A,FALSE,"CAJA";#N/A,#N/A,FALSE,"INGRESOS1995-2003";#N/A,#N/A,FALSE,"GASTOS1995-2003"}</definedName>
    <definedName name="YYYY" hidden="1">{#N/A,#N/A,FALSE,"GRAFICO";#N/A,#N/A,FALSE,"CAJA (2)";#N/A,#N/A,FALSE,"TERCEROS-PROMEDIO";#N/A,#N/A,FALSE,"CAJA";#N/A,#N/A,FALSE,"INGRESOS1995-2003";#N/A,#N/A,FALSE,"GASTOS1995-2003"}</definedName>
    <definedName name="yyyyyy" hidden="1">{"PYGS",#N/A,FALSE,"PYG";"ACTIS",#N/A,FALSE,"BCE_GRAL-ACTIVO";"PASIS",#N/A,FALSE,"BCE_GRAL-PASIVO-PATRIM";"CAJAS",#N/A,FALSE,"CAJA"}</definedName>
    <definedName name="yyyyyyyyyyyyyyy" hidden="1">{#N/A,#N/A,FALSE,"GRAFICO";#N/A,#N/A,FALSE,"CAJA (2)";#N/A,#N/A,FALSE,"TERCEROS-PROMEDIO";#N/A,#N/A,FALSE,"CAJA";#N/A,#N/A,FALSE,"INGRESOS1995-2003";#N/A,#N/A,FALSE,"GASTOS1995-2003"}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3" i="2" l="1"/>
  <c r="K80" i="53" a="1"/>
  <c r="K80" i="53" s="1"/>
  <c r="AG75" i="53"/>
  <c r="AG74" i="53"/>
  <c r="G9" i="1"/>
  <c r="G1" i="1"/>
  <c r="W13" i="2"/>
  <c r="S13" i="2"/>
  <c r="R8" i="2"/>
  <c r="K69" i="53" l="1"/>
  <c r="K78" i="53"/>
  <c r="K71" i="53"/>
  <c r="W75" i="53"/>
  <c r="K73" i="53"/>
  <c r="W77" i="53"/>
  <c r="K75" i="53"/>
  <c r="K68" i="53"/>
  <c r="K77" i="53"/>
  <c r="K70" i="53"/>
  <c r="W74" i="53"/>
  <c r="K72" i="53"/>
  <c r="W76" i="53"/>
  <c r="K74" i="53"/>
  <c r="W78" i="53"/>
  <c r="K67" i="53"/>
  <c r="K76" i="53"/>
  <c r="AG72" i="53" l="1"/>
  <c r="W72" i="53"/>
  <c r="AG71" i="53"/>
  <c r="W71" i="53"/>
  <c r="AG67" i="53"/>
  <c r="W67" i="53"/>
  <c r="AG70" i="53"/>
  <c r="W70" i="53"/>
  <c r="W73" i="53"/>
  <c r="AG73" i="53"/>
  <c r="AG69" i="53"/>
  <c r="W69" i="53"/>
  <c r="AG68" i="53"/>
  <c r="W68" i="53"/>
  <c r="O75" i="53" l="1"/>
  <c r="O78" i="53"/>
  <c r="O74" i="53"/>
  <c r="O72" i="53"/>
  <c r="O70" i="53"/>
  <c r="O73" i="53"/>
  <c r="O77" i="53"/>
  <c r="AB74" i="53" l="1"/>
  <c r="AB73" i="53"/>
  <c r="O69" i="53"/>
  <c r="O76" i="53"/>
  <c r="AB70" i="53"/>
  <c r="AB75" i="53"/>
  <c r="AB78" i="53"/>
  <c r="O68" i="53"/>
  <c r="O71" i="53"/>
  <c r="AB77" i="53"/>
  <c r="AB72" i="53"/>
  <c r="AB71" i="53" l="1"/>
  <c r="AB68" i="53"/>
  <c r="O67" i="53"/>
  <c r="AB69" i="53"/>
  <c r="AB76" i="53"/>
  <c r="AB67" i="53" l="1"/>
  <c r="O79" i="53"/>
  <c r="AB79" i="53" l="1"/>
</calcChain>
</file>

<file path=xl/sharedStrings.xml><?xml version="1.0" encoding="utf-8"?>
<sst xmlns="http://schemas.openxmlformats.org/spreadsheetml/2006/main" count="417" uniqueCount="303">
  <si>
    <t>DATOS GENERALES COMPAÑÍA</t>
  </si>
  <si>
    <t>EntityID</t>
  </si>
  <si>
    <t>EntityName</t>
  </si>
  <si>
    <t>TaxType</t>
  </si>
  <si>
    <t>Year</t>
  </si>
  <si>
    <t>Period</t>
  </si>
  <si>
    <t>Status</t>
  </si>
  <si>
    <t>Jurisdiction</t>
  </si>
  <si>
    <t>Codes</t>
  </si>
  <si>
    <t xml:space="preserve">FORMULARIO </t>
  </si>
  <si>
    <t>Scenario</t>
  </si>
  <si>
    <t>DataCollectionRequestID</t>
  </si>
  <si>
    <t>Adress</t>
  </si>
  <si>
    <t xml:space="preserve">CALENDARIO </t>
  </si>
  <si>
    <t>TemplateName</t>
  </si>
  <si>
    <t>Contact</t>
  </si>
  <si>
    <t>ENERO</t>
  </si>
  <si>
    <t>3</t>
  </si>
  <si>
    <t>Total Ene</t>
  </si>
  <si>
    <t>17</t>
  </si>
  <si>
    <t>Duedate</t>
  </si>
  <si>
    <t>FEBRERO</t>
  </si>
  <si>
    <t>4</t>
  </si>
  <si>
    <t>Total Feb</t>
  </si>
  <si>
    <t>18</t>
  </si>
  <si>
    <t>MARZO</t>
  </si>
  <si>
    <t>5</t>
  </si>
  <si>
    <t>Total Mar</t>
  </si>
  <si>
    <t>19</t>
  </si>
  <si>
    <t>ABRIL</t>
  </si>
  <si>
    <t>6</t>
  </si>
  <si>
    <t>Total Abr</t>
  </si>
  <si>
    <t>20</t>
  </si>
  <si>
    <t>MAYO</t>
  </si>
  <si>
    <t>7</t>
  </si>
  <si>
    <t>Total MAYO</t>
  </si>
  <si>
    <t>21</t>
  </si>
  <si>
    <t>JUNIO</t>
  </si>
  <si>
    <t>8</t>
  </si>
  <si>
    <t>Total JUNIO</t>
  </si>
  <si>
    <t>22</t>
  </si>
  <si>
    <t>JULIO</t>
  </si>
  <si>
    <t>9</t>
  </si>
  <si>
    <t>Total JULIO</t>
  </si>
  <si>
    <t>23</t>
  </si>
  <si>
    <t>AGOSTO</t>
  </si>
  <si>
    <t>10</t>
  </si>
  <si>
    <t>Total AGOSTO</t>
  </si>
  <si>
    <t>24</t>
  </si>
  <si>
    <t>SEPTIEMBRE</t>
  </si>
  <si>
    <t>11</t>
  </si>
  <si>
    <t>Total Sep</t>
  </si>
  <si>
    <t>25</t>
  </si>
  <si>
    <t>OCTUBRE</t>
  </si>
  <si>
    <t>12</t>
  </si>
  <si>
    <t>Total Oct</t>
  </si>
  <si>
    <t>26</t>
  </si>
  <si>
    <t>NOVIEMBRE</t>
  </si>
  <si>
    <t>13</t>
  </si>
  <si>
    <t>Total Nov</t>
  </si>
  <si>
    <t>27</t>
  </si>
  <si>
    <t>DICIEMBRE</t>
  </si>
  <si>
    <t>14</t>
  </si>
  <si>
    <t>Total Dic</t>
  </si>
  <si>
    <t>28</t>
  </si>
  <si>
    <t>AJUSTES</t>
  </si>
  <si>
    <t>15</t>
  </si>
  <si>
    <t>Total Ajustes</t>
  </si>
  <si>
    <t>29</t>
  </si>
  <si>
    <t>BIMESTRE-1</t>
  </si>
  <si>
    <t>32</t>
  </si>
  <si>
    <t>TOTAL</t>
  </si>
  <si>
    <t>30</t>
  </si>
  <si>
    <t>BIMESTRE-2</t>
  </si>
  <si>
    <t>33</t>
  </si>
  <si>
    <t>Total Bimestre 1</t>
  </si>
  <si>
    <t>39</t>
  </si>
  <si>
    <t>BIMESTRE-3</t>
  </si>
  <si>
    <t>34</t>
  </si>
  <si>
    <t>Total Bimestre 2</t>
  </si>
  <si>
    <t>40</t>
  </si>
  <si>
    <t>BIMESTRE-4</t>
  </si>
  <si>
    <t>35</t>
  </si>
  <si>
    <t>Total Bimestre 3</t>
  </si>
  <si>
    <t>41</t>
  </si>
  <si>
    <t>BIMESTRE-5</t>
  </si>
  <si>
    <t>36</t>
  </si>
  <si>
    <t>Total Bimestre 4</t>
  </si>
  <si>
    <t>42</t>
  </si>
  <si>
    <t>BIMESTRE-6</t>
  </si>
  <si>
    <t>37</t>
  </si>
  <si>
    <t>Total Bimestre 5</t>
  </si>
  <si>
    <t>43</t>
  </si>
  <si>
    <t>TRIMESTRE-1</t>
  </si>
  <si>
    <t>46</t>
  </si>
  <si>
    <t>Total Bimestre 6</t>
  </si>
  <si>
    <t>44</t>
  </si>
  <si>
    <t>TRIMESTRE-2</t>
  </si>
  <si>
    <t>47</t>
  </si>
  <si>
    <t>Total Trimestre 1</t>
  </si>
  <si>
    <t>51</t>
  </si>
  <si>
    <t>TRIMESTRE-3</t>
  </si>
  <si>
    <t>48</t>
  </si>
  <si>
    <t>Total Trimestre 2</t>
  </si>
  <si>
    <t>52</t>
  </si>
  <si>
    <t>TRIMESTRE-4</t>
  </si>
  <si>
    <t>49</t>
  </si>
  <si>
    <t>Total Trimestre 3</t>
  </si>
  <si>
    <t>53</t>
  </si>
  <si>
    <t>CUATRIMESTRE-1</t>
  </si>
  <si>
    <t>56</t>
  </si>
  <si>
    <t>Total Trimestre 4</t>
  </si>
  <si>
    <t>54</t>
  </si>
  <si>
    <t>CUATRIMESTRE-2</t>
  </si>
  <si>
    <t>57</t>
  </si>
  <si>
    <t>Total Cuatrimestre 1</t>
  </si>
  <si>
    <t>60</t>
  </si>
  <si>
    <t>CUATRIMESTRE-3</t>
  </si>
  <si>
    <t>58</t>
  </si>
  <si>
    <t>Total Cuatrimestre 2</t>
  </si>
  <si>
    <t>61</t>
  </si>
  <si>
    <t>SEMESTRE-1</t>
  </si>
  <si>
    <t>64</t>
  </si>
  <si>
    <t>Total Cuatrimestre 3</t>
  </si>
  <si>
    <t>62</t>
  </si>
  <si>
    <t>SEMESTRE-2</t>
  </si>
  <si>
    <t>65</t>
  </si>
  <si>
    <t>Total semestre 1</t>
  </si>
  <si>
    <t>67</t>
  </si>
  <si>
    <t>ANUAL</t>
  </si>
  <si>
    <t>70</t>
  </si>
  <si>
    <t>Total semestre 2</t>
  </si>
  <si>
    <t>68</t>
  </si>
  <si>
    <t>Total anual</t>
  </si>
  <si>
    <t>72</t>
  </si>
  <si>
    <t>MUNICIPIO O DISTRITO:</t>
  </si>
  <si>
    <t>Fecha máxima presentación</t>
  </si>
  <si>
    <t>DEPARTAMENTO:</t>
  </si>
  <si>
    <t>AÑO GRAVABLE</t>
  </si>
  <si>
    <r>
      <rPr>
        <sz val="7"/>
        <color indexed="8"/>
        <rFont val="Arial Unicode MS"/>
        <family val="2"/>
      </rPr>
      <t xml:space="preserve">SOLAMENTE PARA BOGOTÁ, marque el Bimestre o periodo anual  </t>
    </r>
    <r>
      <rPr>
        <sz val="6"/>
        <color indexed="8"/>
        <rFont val="Arial Unicode MS"/>
        <family val="2"/>
      </rPr>
      <t xml:space="preserve">      </t>
    </r>
  </si>
  <si>
    <t>ENE- FEB</t>
  </si>
  <si>
    <t>MAR - ABR</t>
  </si>
  <si>
    <t>MAY- JUN</t>
  </si>
  <si>
    <t>JUL - AGO</t>
  </si>
  <si>
    <t>SEP -OCT</t>
  </si>
  <si>
    <t>NOV - DIC</t>
  </si>
  <si>
    <t xml:space="preserve">OPCIÓN DE USO: </t>
  </si>
  <si>
    <t>DECLARACION INICIAL</t>
  </si>
  <si>
    <t>X</t>
  </si>
  <si>
    <t>SOLO PAGO</t>
  </si>
  <si>
    <t>CORRECION</t>
  </si>
  <si>
    <t>DECLARACION QUE SE CORRIGE No.</t>
  </si>
  <si>
    <t>DE FECHA
dd / mm / aaaa</t>
  </si>
  <si>
    <t>A. INFORMACIÓN DEL CONTRIBUYENTE</t>
  </si>
  <si>
    <t>NOMBRES Y APELLIDOS O RAZÓN SOCIAL</t>
  </si>
  <si>
    <t>CC</t>
  </si>
  <si>
    <t>NIT</t>
  </si>
  <si>
    <t>x</t>
  </si>
  <si>
    <t>TI</t>
  </si>
  <si>
    <t>CE</t>
  </si>
  <si>
    <t>No.</t>
  </si>
  <si>
    <t>DV</t>
  </si>
  <si>
    <t xml:space="preserve">Es consorcio o Unión Temp. </t>
  </si>
  <si>
    <t>Realiza actividades a través 
de Pat. Aut.</t>
  </si>
  <si>
    <t>DIRECCIÓN DE NOTIFICACIÓN:</t>
  </si>
  <si>
    <t>MUNICIPIO O DISTRITO DE LA DIRECCIÓN</t>
  </si>
  <si>
    <t>DEPARTAMENTO</t>
  </si>
  <si>
    <t>TELÉFONO</t>
  </si>
  <si>
    <t>5.CORREO ELECTRONICO</t>
  </si>
  <si>
    <t>6. No. DE ESTABLECIMIENTOS</t>
  </si>
  <si>
    <t>7. CLASIFICACIÓN</t>
  </si>
  <si>
    <t>B. BASE GRAVABLE</t>
  </si>
  <si>
    <t>TOTAL INGRESOS ORDINARIOS Y EXTRAORDINARIOS DEL PERIODO EN TODO EL PAÍS</t>
  </si>
  <si>
    <t>MENOS INGRESOS FUERA DE ESTE MUNICIPIO O DISTRITO</t>
  </si>
  <si>
    <t xml:space="preserve">TOTAL INGRESOS ORDINARIOS Y EXTRAORDINARIOS EN ESTE MUNICIPIO </t>
  </si>
  <si>
    <t>MENOS INGRESOS POR DEVOLUCIONES, REBAJAS, DESCUENTOS EN EL MUNICIPIO</t>
  </si>
  <si>
    <t>MENOS INGRESOS POR EXPORTACIONES</t>
  </si>
  <si>
    <t>MENOS INGRESOS POR VENTA DE ACTIVOS FIJOS</t>
  </si>
  <si>
    <t>MENOS INGRESOS POR ACTIVIDADES EXCLUIDAS O NO SUJETAS Y OTROS INGRESOS NO GRAVADOS</t>
  </si>
  <si>
    <t>MENOS INGRESOS POR OTRAS ACTIVIDADES EXENTAS EN ESTE MUNICIPIO (POR ACUERDO)</t>
  </si>
  <si>
    <t>TOTAL INGRESOS GRAVABLES (RENGLÓN 10 MENOS 11,12,13,14 Y 15)</t>
  </si>
  <si>
    <t>C. DISCRIMINACIÓN DE ACTIVIDADES GRAVADAS</t>
  </si>
  <si>
    <t>ACTIVIDADES GRAVADAS</t>
  </si>
  <si>
    <t>CODIGO</t>
  </si>
  <si>
    <t>INGRESOS GRAVADOS</t>
  </si>
  <si>
    <t>TARIFA (por mil)</t>
  </si>
  <si>
    <t>IMPUESTO</t>
  </si>
  <si>
    <t>ACTIVIDAD 1 (PRINCIPAL)</t>
  </si>
  <si>
    <t>ACTIVIDAD 2</t>
  </si>
  <si>
    <t>ACTIVIDAD 3</t>
  </si>
  <si>
    <t>OTRAS ACTIVIDADES</t>
  </si>
  <si>
    <t>VER DESAGREGACIÓN</t>
  </si>
  <si>
    <t>TOTAL INGRESOS GRAVADOS</t>
  </si>
  <si>
    <t>17. TOTAL IMPUESTO</t>
  </si>
  <si>
    <t>GENERACIÓN DE ENERGIA</t>
  </si>
  <si>
    <t xml:space="preserve">      CAPACIDAD INSTALADA</t>
  </si>
  <si>
    <t>KW</t>
  </si>
  <si>
    <t>19. IMP LEY 56 DE 1981</t>
  </si>
  <si>
    <t>D. LIQUIDACIÓN PRIVADA</t>
  </si>
  <si>
    <t xml:space="preserve">TOTAL IMPUESTO DE INDUSTRIA Y COMERCIO (Renglón 17+19)    </t>
  </si>
  <si>
    <t>IMPUESTO DE AVISOS Y TABLEROS (15% del renglón 20)</t>
  </si>
  <si>
    <t>PAGO POR UNIDADES COMERCIALES ADICIONALES DEL SECTOR FINANCIERO</t>
  </si>
  <si>
    <t>SOBRETASA BOMBERIL  (Ley 1575 de 2012)  ( si hay liquidela según el acuerdo municipal )</t>
  </si>
  <si>
    <t>SOBRETASA DE SEGURIDAD (LEY 1421 DE 2011) (Si la hay, liquidela según el acuerdo municpal o distrital)</t>
  </si>
  <si>
    <t>TOTAL IMPUESTO A CARGO</t>
  </si>
  <si>
    <t>MENOS VALOR DE EXENCION O EXONERACON SOBRE EL IMPUESTO Y NO SOBRE EL INGRESO</t>
  </si>
  <si>
    <t>MENOS RETENCIONES QUE LE PRACTICARON A FAVOR DE ESTE MUNICIPIO O DISTRITO EN ESTE PERIODO</t>
  </si>
  <si>
    <t>MENOS AUTORRETENCIONES PRACTICAS A FAVOR DE ESTE MUNICPIO O DISTRITO EN ESTE PERIODO</t>
  </si>
  <si>
    <t>MENOS ANTICIPIO LIQUIDADO AÑO ANTERIOIR</t>
  </si>
  <si>
    <t>ANTICIPO DEL AÑO SIGUIENTE  ( Si Existe, líquide porcentaje según Acuerdo )</t>
  </si>
  <si>
    <t xml:space="preserve">SANCIONES: </t>
  </si>
  <si>
    <t>EXTEMPORANEIDAD</t>
  </si>
  <si>
    <t>CORRECCION</t>
  </si>
  <si>
    <t>INEXACTITUD</t>
  </si>
  <si>
    <t>OTRA</t>
  </si>
  <si>
    <t xml:space="preserve">Cuál </t>
  </si>
  <si>
    <t>MENOS SALDO A FAVOR DEL PERIODO ANTERIOR SIN SOLICITUD DE DEVOLUCIÓN O COMPENSACIÓN</t>
  </si>
  <si>
    <t>TOTAL SALDO A CARGO (Renglón 25-26-27-28-29+30+31-32)</t>
  </si>
  <si>
    <t>TOTAL SALDO A FAVOR (Renglón 25-26-27-28-29+30+31-32) si el resultado es menor a cero</t>
  </si>
  <si>
    <t>E. PAGO</t>
  </si>
  <si>
    <t>VALOR A PAGAR</t>
  </si>
  <si>
    <t>DESCUENTO POR PRONTO PAGO  (Si existe, líquidelo según el Acuerdo)</t>
  </si>
  <si>
    <t>INTERESES DE MORA</t>
  </si>
  <si>
    <t>TOTAL A PAGAR (Renglón 35-36+37)</t>
  </si>
  <si>
    <t>SECCIÓN PAGO VOLUNTARIO</t>
  </si>
  <si>
    <t>LIQUIDE EL VALOR DEL PAGO VOLUNTARIO (Según instrucciones del Municipio/distrito)</t>
  </si>
  <si>
    <t>TOTAL A PAGAR CON PAGO VOLUNTARIO (Renglón 38+39)</t>
  </si>
  <si>
    <t>Destino de mi aporte voluntario:</t>
  </si>
  <si>
    <t>F. FIRMAS</t>
  </si>
  <si>
    <t>FIRMA DEL DECLARANTE</t>
  </si>
  <si>
    <t xml:space="preserve">FIRMA DEL CONTADOR </t>
  </si>
  <si>
    <t>REVISOR FISCAL</t>
  </si>
  <si>
    <t>NOMBRE</t>
  </si>
  <si>
    <t>JORGE ANDRES TABARES ANGEL</t>
  </si>
  <si>
    <t>No._______________________________</t>
  </si>
  <si>
    <t xml:space="preserve">No. </t>
  </si>
  <si>
    <t>TP. _</t>
  </si>
  <si>
    <t>ESPACIO PARA CÓDIGO DE BARRAS</t>
  </si>
  <si>
    <t xml:space="preserve">RADICADO Y/O FECHA DE PRESENTACIÓN </t>
  </si>
  <si>
    <t>ESPACIO PARA CÓDIGO QR</t>
  </si>
  <si>
    <t xml:space="preserve">ESPACIO PARA SELLO O TIMBRE </t>
  </si>
  <si>
    <t>ESPACIO PARA SERIAL AUTOMATICO DE TRANSACCIÓN O MECANISMO DE IDENTIFICACIÓN DE RECAUDO</t>
  </si>
  <si>
    <t>C. DISCRIMINACIÓN DE ACTIVIDADES GRAVADAS (OTRAS ACTIVIDADES)</t>
  </si>
  <si>
    <t>ACTIVIDAD 4</t>
  </si>
  <si>
    <t>ACTIVIDAD 5</t>
  </si>
  <si>
    <t>ACTIVIDAD 6</t>
  </si>
  <si>
    <t>ACTIVIDAD 7</t>
  </si>
  <si>
    <t>ACTIVIDAD 8</t>
  </si>
  <si>
    <t>ACTIVIDAD 9</t>
  </si>
  <si>
    <t>ACTIVIDAD 10</t>
  </si>
  <si>
    <t>ACTIVIDAD 11</t>
  </si>
  <si>
    <t>ACTIVIDAD 12</t>
  </si>
  <si>
    <t>ACTIVIDAD 13</t>
  </si>
  <si>
    <t>ACTIVIDAD 14</t>
  </si>
  <si>
    <t>ACTIVIDAD 15</t>
  </si>
  <si>
    <t>MAGDALENA</t>
  </si>
  <si>
    <t>BOGOTA</t>
  </si>
  <si>
    <t>CIENAGA</t>
  </si>
  <si>
    <t>X5RCVHN2JD89PZFDFN2EG8X7DS4Y97PQBKZMM4GXPMJZXADRF2A0</t>
  </si>
  <si>
    <t>Claudia Bejarano</t>
  </si>
  <si>
    <t>Create</t>
  </si>
  <si>
    <t>c2f44217-e757-478d-8083-f6d203c0f079</t>
  </si>
  <si>
    <t>{"id":"c2f44217-e757-478d-8083-f6d203c0f079","type":1,"name":"workbookId","value":"23a6d762-d91f-4e07-a8a8-9e2998c6b064"}</t>
  </si>
  <si>
    <t>a0dac295-2793-4fc9-a01a-4960424f10dc</t>
  </si>
  <si>
    <t>{"id":"a0dac295-2793-4fc9-a01a-4960424f10dc","type":0,"name":"dataSnipperSheetDeleted","value":"false"}</t>
  </si>
  <si>
    <t>4d133dd3-3e1f-4316-8b9e-99b769c96353</t>
  </si>
  <si>
    <t>{"id":"4d133dd3-3e1f-4316-8b9e-99b769c96353","type":0,"name":"embed-documents","value":"true"}</t>
  </si>
  <si>
    <t>80f02ccc-16aa-4b31-88fd-cec13b0aef49</t>
  </si>
  <si>
    <t>{"id":"80f02ccc-16aa-4b31-88fd-cec13b0aef49","type":0,"name":"table-snip-suggestions","value":"true"}</t>
  </si>
  <si>
    <t>6d3a6894-caaf-4076-804c-3e0b599171b2</t>
  </si>
  <si>
    <t>{"id":"6d3a6894-caaf-4076-804c-3e0b599171b2","type":1,"name":"migratedFssProjectId","value":""}</t>
  </si>
  <si>
    <t>INGRESO X CUENTA</t>
  </si>
  <si>
    <t>REPORTE TT</t>
  </si>
  <si>
    <t>(1)-(2)</t>
  </si>
  <si>
    <t>(3)-(4)</t>
  </si>
  <si>
    <t>(5)-(6)</t>
  </si>
  <si>
    <t>(7)-(8)</t>
  </si>
  <si>
    <t>(9)-(10)</t>
  </si>
  <si>
    <t>(11)-(12)</t>
  </si>
  <si>
    <t>(1)-(2)-(3)</t>
  </si>
  <si>
    <t>(4)-(5)-(6)</t>
  </si>
  <si>
    <t>(7)-(8)-(9)</t>
  </si>
  <si>
    <t>(10)-(11)-(12)</t>
  </si>
  <si>
    <t>(1)-(2)-(3)-(4)</t>
  </si>
  <si>
    <t>(5)-(6)-(7)-(8)</t>
  </si>
  <si>
    <t>(9)-(10)-(11)-(12)</t>
  </si>
  <si>
    <t>(1)-(2)-(3)-(4)-(5)-(6)</t>
  </si>
  <si>
    <t>(7)-(8)-(9)-(10)-(11)-(12)</t>
  </si>
  <si>
    <t xml:space="preserve">REPRESENTANTE LEGAL </t>
  </si>
  <si>
    <t>VALOR A PAGAR EN LETRAS</t>
  </si>
  <si>
    <t>REGIMEN COMUN</t>
  </si>
  <si>
    <t>CLAUDIA MARCELA CONTRERAS RIAÑO</t>
  </si>
  <si>
    <t>149609 -T</t>
  </si>
  <si>
    <t>CR 9 N 73 44 P 6 (BOGOTÁ D.C.)</t>
  </si>
  <si>
    <t>impuestos@geb.com.co</t>
  </si>
  <si>
    <t>GRUPO ENERGIA BOGOTÄ SA ESP</t>
  </si>
  <si>
    <t>CIENAGA-MAGDALENA-47189</t>
  </si>
  <si>
    <t>ICA</t>
  </si>
  <si>
    <t>ICA2025GEB</t>
  </si>
  <si>
    <t>Edit</t>
  </si>
  <si>
    <t>FORMULARIO UNICO NACIONAL MUNICIPIO - CIENAGA - MAGDALENA</t>
  </si>
  <si>
    <t xml:space="preserve"> </t>
  </si>
  <si>
    <t>9 / 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</si>
</sst>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6">
    <numFmt numFmtId="42" formatCode="_-&quot;$&quot;\ * #,##0_-;\-&quot;$&quot;\ * #,##0_-;_-&quot;$&quot;\ * &quot;-&quot;_-;_-@_-"/>
    <numFmt numFmtId="41" formatCode="_-* #,##0_-;\-* #,##0_-;_-* &quot;-&quot;_-;_-@_-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* #,##0.00_);_(* \(#,##0.00\);_(* &quot;-&quot;??_);_(@_)"/>
    <numFmt numFmtId="165" formatCode="dd/mm/yyyy;@"/>
    <numFmt numFmtId="166" formatCode="_(* #,##0_);_(* \(#,##0\);_(* &quot;-&quot;??_);_(@_)"/>
    <numFmt numFmtId="167" formatCode="0.0"/>
    <numFmt numFmtId="169" formatCode="_ &quot;$&quot;\ * #,##0.00_ ;_ &quot;$&quot;\ * \-#,##0.00_ ;_ &quot;$&quot;\ * &quot;-&quot;??_ ;_ @_ "/>
    <numFmt numFmtId="170" formatCode="_ * #,##0.00_ ;_ * \-#,##0.00_ ;_ * &quot;-&quot;??_ ;_ @_ "/>
    <numFmt numFmtId="171" formatCode="_(* #,##0_);_(* \(#,##0\);_(* &quot;-&quot;_);_(@_)"/>
    <numFmt numFmtId="172" formatCode="_(&quot;$&quot;* #,##0_);_(&quot;$&quot;* \(#,##0\);_(&quot;$&quot;* &quot;-&quot;_);_(@_)"/>
    <numFmt numFmtId="173" formatCode="_-* #,##0.00\ _€_-;\-* #,##0.00\ _€_-;_-* &quot;-&quot;??\ _€_-;_-@_-"/>
    <numFmt numFmtId="174" formatCode="_-&quot;$&quot;\ * #,##0_-;\-&quot;$&quot;\ * #,##0_-;_-&quot;$&quot;\ * &quot;-&quot;??_-;_-@_-"/>
    <numFmt numFmtId="175" formatCode="_(&quot;$&quot;\ * #,##0.00_);_(&quot;$&quot;\ * \(#,##0.00\);_(&quot;$&quot;\ * &quot;-&quot;??_);_(@_)"/>
    <numFmt numFmtId="176" formatCode="_(&quot;$&quot;* #,##0.00_);_(&quot;$&quot;* \(#,##0.00\);_(&quot;$&quot;* &quot;-&quot;??_);_(@_)"/>
  </numFmts>
  <fonts count="58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u/>
      <sz val="11"/>
      <color rgb="FF0563C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7"/>
      <color theme="1"/>
      <name val="Arial Unicode MS"/>
      <family val="2"/>
    </font>
    <font>
      <b/>
      <sz val="10"/>
      <color theme="1"/>
      <name val="Arial Unicode MS"/>
      <family val="2"/>
    </font>
    <font>
      <sz val="6"/>
      <color theme="1"/>
      <name val="Arial Unicode MS"/>
      <family val="2"/>
    </font>
    <font>
      <sz val="11"/>
      <name val="Arial Unicode MS"/>
      <family val="2"/>
    </font>
    <font>
      <sz val="8"/>
      <color theme="1"/>
      <name val="Arial Unicode MS"/>
      <family val="2"/>
    </font>
    <font>
      <b/>
      <sz val="12"/>
      <name val="Arial Unicode MS"/>
      <family val="2"/>
    </font>
    <font>
      <sz val="12"/>
      <color theme="1"/>
      <name val="Arial Unicode MS"/>
      <family val="2"/>
    </font>
    <font>
      <sz val="7"/>
      <color indexed="8"/>
      <name val="Arial Unicode MS"/>
      <family val="2"/>
    </font>
    <font>
      <sz val="6"/>
      <color indexed="8"/>
      <name val="Arial Unicode MS"/>
      <family val="2"/>
    </font>
    <font>
      <b/>
      <sz val="8"/>
      <color theme="1"/>
      <name val="Arial Unicode MS"/>
      <family val="2"/>
    </font>
    <font>
      <sz val="6.5"/>
      <color theme="1"/>
      <name val="Arial Unicode MS"/>
      <family val="2"/>
    </font>
    <font>
      <sz val="10"/>
      <color theme="1"/>
      <name val="Arial Unicode MS"/>
      <family val="2"/>
    </font>
    <font>
      <b/>
      <sz val="7"/>
      <color theme="1"/>
      <name val="Arial Unicode MS"/>
      <family val="2"/>
    </font>
    <font>
      <b/>
      <sz val="6"/>
      <color theme="1"/>
      <name val="Arial Unicode MS"/>
      <family val="2"/>
    </font>
    <font>
      <b/>
      <sz val="11"/>
      <color theme="1"/>
      <name val="Arial Unicode MS"/>
      <family val="2"/>
    </font>
    <font>
      <sz val="9"/>
      <name val="Arial Unicode MS"/>
      <family val="2"/>
    </font>
    <font>
      <sz val="11"/>
      <color rgb="FF0070C0"/>
      <name val="Arial Unicode MS"/>
      <family val="2"/>
    </font>
    <font>
      <sz val="11"/>
      <name val="Calibri"/>
      <family val="2"/>
    </font>
    <font>
      <sz val="10"/>
      <name val="Arial Unicode MS"/>
      <family val="2"/>
    </font>
    <font>
      <b/>
      <sz val="10"/>
      <name val="Arial Unicode MS"/>
      <family val="2"/>
    </font>
    <font>
      <sz val="7"/>
      <name val="Arial Unicode MS"/>
      <family val="2"/>
    </font>
    <font>
      <sz val="7"/>
      <color theme="0" tint="-0.49992370372631001"/>
      <name val="Arial Unicode MS"/>
      <family val="2"/>
    </font>
    <font>
      <sz val="7"/>
      <color theme="0" tint="-0.3499252296517838"/>
      <name val="Arial Unicode MS"/>
      <family val="2"/>
    </font>
    <font>
      <sz val="9"/>
      <name val="Arial"/>
      <family val="2"/>
    </font>
    <font>
      <sz val="4"/>
      <color theme="1"/>
      <name val="Arial Unicode MS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1"/>
      <name val="Tahoma"/>
      <family val="2"/>
    </font>
    <font>
      <sz val="7"/>
      <color theme="0"/>
      <name val="Arial Unicode MS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3C2D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58800012207406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2828150273141E-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14981536301767021"/>
        <bgColor indexed="64"/>
      </patternFill>
    </fill>
  </fills>
  <borders count="5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542222357860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5422223578601"/>
      </left>
      <right style="thin">
        <color theme="0" tint="-0.49995422223578601"/>
      </right>
      <top style="thin">
        <color theme="0" tint="-0.49995422223578601"/>
      </top>
      <bottom style="thin">
        <color theme="0" tint="-0.4999542222357860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</borders>
  <cellStyleXfs count="505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 applyNumberFormat="0" applyFill="0" applyBorder="0">
      <protection locked="0"/>
    </xf>
    <xf numFmtId="164" fontId="57" fillId="0" borderId="0" applyFont="0" applyFill="0" applyBorder="0" applyAlignment="0" applyProtection="0"/>
    <xf numFmtId="0" fontId="3" fillId="0" borderId="0"/>
    <xf numFmtId="0" fontId="3" fillId="0" borderId="0"/>
    <xf numFmtId="0" fontId="57" fillId="0" borderId="0"/>
    <xf numFmtId="44" fontId="57" fillId="0" borderId="0" applyFont="0" applyFill="0" applyBorder="0" applyAlignment="0" applyProtection="0"/>
    <xf numFmtId="9" fontId="57" fillId="0" borderId="0" applyFont="0" applyFill="0" applyBorder="0" applyAlignment="0" applyProtection="0"/>
    <xf numFmtId="0" fontId="8" fillId="0" borderId="0" applyNumberFormat="0" applyFill="0" applyBorder="0" applyAlignment="0" applyProtection="0"/>
    <xf numFmtId="43" fontId="57" fillId="0" borderId="0" applyFont="0" applyFill="0" applyBorder="0" applyAlignment="0" applyProtection="0"/>
    <xf numFmtId="16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1" fontId="57" fillId="0" borderId="0" applyFont="0" applyFill="0" applyBorder="0" applyAlignment="0" applyProtection="0"/>
    <xf numFmtId="172" fontId="57" fillId="0" borderId="0" applyFont="0" applyFill="0" applyBorder="0" applyAlignment="0" applyProtection="0"/>
    <xf numFmtId="173" fontId="57" fillId="0" borderId="0" applyFont="0" applyFill="0" applyBorder="0" applyAlignment="0" applyProtection="0"/>
    <xf numFmtId="0" fontId="35" fillId="0" borderId="0"/>
    <xf numFmtId="41" fontId="35" fillId="0" borderId="0" applyFont="0" applyFill="0" applyBorder="0" applyAlignment="0" applyProtection="0"/>
    <xf numFmtId="0" fontId="3" fillId="0" borderId="0"/>
    <xf numFmtId="0" fontId="3" fillId="0" borderId="0"/>
    <xf numFmtId="170" fontId="3" fillId="0" borderId="0" applyFont="0" applyFill="0" applyBorder="0" applyAlignment="0" applyProtection="0"/>
    <xf numFmtId="0" fontId="3" fillId="0" borderId="0"/>
    <xf numFmtId="0" fontId="37" fillId="0" borderId="0"/>
    <xf numFmtId="0" fontId="57" fillId="0" borderId="0"/>
    <xf numFmtId="0" fontId="57" fillId="0" borderId="0"/>
    <xf numFmtId="44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" applyNumberFormat="0" applyFill="0" applyAlignment="0" applyProtection="0"/>
    <xf numFmtId="0" fontId="43" fillId="0" borderId="2" applyNumberFormat="0" applyFill="0" applyAlignment="0" applyProtection="0"/>
    <xf numFmtId="0" fontId="44" fillId="0" borderId="3" applyNumberFormat="0" applyFill="0" applyAlignment="0" applyProtection="0"/>
    <xf numFmtId="0" fontId="44" fillId="0" borderId="0" applyNumberFormat="0" applyFill="0" applyBorder="0" applyAlignment="0" applyProtection="0"/>
    <xf numFmtId="0" fontId="45" fillId="2" borderId="0" applyNumberFormat="0" applyBorder="0" applyAlignment="0" applyProtection="0"/>
    <xf numFmtId="0" fontId="46" fillId="3" borderId="0" applyNumberFormat="0" applyBorder="0" applyAlignment="0" applyProtection="0"/>
    <xf numFmtId="0" fontId="47" fillId="4" borderId="0" applyNumberFormat="0" applyBorder="0" applyAlignment="0" applyProtection="0"/>
    <xf numFmtId="0" fontId="48" fillId="5" borderId="4" applyNumberFormat="0" applyAlignment="0" applyProtection="0"/>
    <xf numFmtId="0" fontId="49" fillId="6" borderId="5" applyNumberFormat="0" applyAlignment="0" applyProtection="0"/>
    <xf numFmtId="0" fontId="50" fillId="6" borderId="4" applyNumberFormat="0" applyAlignment="0" applyProtection="0"/>
    <xf numFmtId="0" fontId="51" fillId="0" borderId="6" applyNumberFormat="0" applyFill="0" applyAlignment="0" applyProtection="0"/>
    <xf numFmtId="0" fontId="34" fillId="7" borderId="7" applyNumberFormat="0" applyAlignment="0" applyProtection="0"/>
    <xf numFmtId="0" fontId="52" fillId="0" borderId="0" applyNumberFormat="0" applyFill="0" applyBorder="0" applyAlignment="0" applyProtection="0"/>
    <xf numFmtId="0" fontId="57" fillId="8" borderId="8" applyNumberFormat="0" applyFont="0" applyAlignment="0" applyProtection="0"/>
    <xf numFmtId="0" fontId="53" fillId="0" borderId="0" applyNumberFormat="0" applyFill="0" applyBorder="0" applyAlignment="0" applyProtection="0"/>
    <xf numFmtId="0" fontId="4" fillId="0" borderId="9" applyNumberFormat="0" applyFill="0" applyAlignment="0" applyProtection="0"/>
    <xf numFmtId="0" fontId="5" fillId="9" borderId="0" applyNumberFormat="0" applyBorder="0" applyAlignment="0" applyProtection="0"/>
    <xf numFmtId="0" fontId="57" fillId="10" borderId="0" applyNumberFormat="0" applyBorder="0" applyAlignment="0" applyProtection="0"/>
    <xf numFmtId="0" fontId="57" fillId="11" borderId="0" applyNumberFormat="0" applyBorder="0" applyAlignment="0" applyProtection="0"/>
    <xf numFmtId="0" fontId="57" fillId="12" borderId="0" applyNumberFormat="0" applyBorder="0" applyAlignment="0" applyProtection="0"/>
    <xf numFmtId="0" fontId="5" fillId="13" borderId="0" applyNumberFormat="0" applyBorder="0" applyAlignment="0" applyProtection="0"/>
    <xf numFmtId="0" fontId="57" fillId="14" borderId="0" applyNumberFormat="0" applyBorder="0" applyAlignment="0" applyProtection="0"/>
    <xf numFmtId="0" fontId="57" fillId="15" borderId="0" applyNumberFormat="0" applyBorder="0" applyAlignment="0" applyProtection="0"/>
    <xf numFmtId="0" fontId="57" fillId="16" borderId="0" applyNumberFormat="0" applyBorder="0" applyAlignment="0" applyProtection="0"/>
    <xf numFmtId="0" fontId="5" fillId="17" borderId="0" applyNumberFormat="0" applyBorder="0" applyAlignment="0" applyProtection="0"/>
    <xf numFmtId="0" fontId="57" fillId="18" borderId="0" applyNumberFormat="0" applyBorder="0" applyAlignment="0" applyProtection="0"/>
    <xf numFmtId="0" fontId="57" fillId="19" borderId="0" applyNumberFormat="0" applyBorder="0" applyAlignment="0" applyProtection="0"/>
    <xf numFmtId="0" fontId="57" fillId="20" borderId="0" applyNumberFormat="0" applyBorder="0" applyAlignment="0" applyProtection="0"/>
    <xf numFmtId="0" fontId="5" fillId="21" borderId="0" applyNumberFormat="0" applyBorder="0" applyAlignment="0" applyProtection="0"/>
    <xf numFmtId="0" fontId="57" fillId="22" borderId="0" applyNumberFormat="0" applyBorder="0" applyAlignment="0" applyProtection="0"/>
    <xf numFmtId="0" fontId="57" fillId="23" borderId="0" applyNumberFormat="0" applyBorder="0" applyAlignment="0" applyProtection="0"/>
    <xf numFmtId="0" fontId="57" fillId="24" borderId="0" applyNumberFormat="0" applyBorder="0" applyAlignment="0" applyProtection="0"/>
    <xf numFmtId="0" fontId="5" fillId="25" borderId="0" applyNumberFormat="0" applyBorder="0" applyAlignment="0" applyProtection="0"/>
    <xf numFmtId="0" fontId="57" fillId="26" borderId="0" applyNumberFormat="0" applyBorder="0" applyAlignment="0" applyProtection="0"/>
    <xf numFmtId="0" fontId="57" fillId="27" borderId="0" applyNumberFormat="0" applyBorder="0" applyAlignment="0" applyProtection="0"/>
    <xf numFmtId="0" fontId="57" fillId="28" borderId="0" applyNumberFormat="0" applyBorder="0" applyAlignment="0" applyProtection="0"/>
    <xf numFmtId="0" fontId="5" fillId="29" borderId="0" applyNumberFormat="0" applyBorder="0" applyAlignment="0" applyProtection="0"/>
    <xf numFmtId="0" fontId="57" fillId="30" borderId="0" applyNumberFormat="0" applyBorder="0" applyAlignment="0" applyProtection="0"/>
    <xf numFmtId="0" fontId="57" fillId="31" borderId="0" applyNumberFormat="0" applyBorder="0" applyAlignment="0" applyProtection="0"/>
    <xf numFmtId="0" fontId="57" fillId="32" borderId="0" applyNumberFormat="0" applyBorder="0" applyAlignment="0" applyProtection="0"/>
    <xf numFmtId="43" fontId="3" fillId="0" borderId="0" applyFont="0" applyFill="0" applyBorder="0" applyAlignment="0" applyProtection="0"/>
    <xf numFmtId="0" fontId="57" fillId="0" borderId="0"/>
    <xf numFmtId="0" fontId="3" fillId="0" borderId="0"/>
    <xf numFmtId="0" fontId="57" fillId="0" borderId="0">
      <alignment vertical="center"/>
    </xf>
    <xf numFmtId="43" fontId="3" fillId="0" borderId="0" applyFont="0" applyFill="0" applyBorder="0" applyAlignment="0" applyProtection="0"/>
    <xf numFmtId="0" fontId="3" fillId="0" borderId="0"/>
    <xf numFmtId="43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175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16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41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0" fontId="35" fillId="0" borderId="0"/>
    <xf numFmtId="41" fontId="35" fillId="0" borderId="0" applyFont="0" applyFill="0" applyBorder="0" applyAlignment="0" applyProtection="0"/>
    <xf numFmtId="43" fontId="57" fillId="0" borderId="0" applyFont="0" applyFill="0" applyBorder="0" applyAlignment="0" applyProtection="0"/>
    <xf numFmtId="170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175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0" fontId="57" fillId="0" borderId="0"/>
    <xf numFmtId="43" fontId="57" fillId="0" borderId="0" applyFont="0" applyFill="0" applyBorder="0" applyAlignment="0" applyProtection="0"/>
    <xf numFmtId="169" fontId="3" fillId="0" borderId="0" applyFont="0" applyFill="0" applyBorder="0" applyAlignment="0" applyProtection="0"/>
    <xf numFmtId="41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1" fontId="35" fillId="0" borderId="0" applyFont="0" applyFill="0" applyBorder="0" applyAlignment="0" applyProtection="0"/>
    <xf numFmtId="44" fontId="57" fillId="0" borderId="0" applyFont="0" applyFill="0" applyBorder="0" applyAlignment="0" applyProtection="0"/>
    <xf numFmtId="170" fontId="3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57" fillId="0" borderId="0"/>
    <xf numFmtId="0" fontId="3" fillId="0" borderId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175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1" fontId="35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1" fontId="35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1" fontId="35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1" fontId="35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1" fontId="35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1" fontId="35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1" fontId="35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1" fontId="35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1" fontId="35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1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1" fontId="35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2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4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0" fontId="54" fillId="33" borderId="10"/>
    <xf numFmtId="43" fontId="57" fillId="0" borderId="0" applyFont="0" applyFill="0" applyBorder="0" applyAlignment="0" applyProtection="0"/>
    <xf numFmtId="176" fontId="57" fillId="0" borderId="0" applyFont="0" applyFill="0" applyBorder="0" applyAlignment="0" applyProtection="0"/>
  </cellStyleXfs>
  <cellXfs count="332">
    <xf numFmtId="0" fontId="0" fillId="0" borderId="0" xfId="0"/>
    <xf numFmtId="0" fontId="0" fillId="34" borderId="0" xfId="0" applyFill="1"/>
    <xf numFmtId="0" fontId="5" fillId="0" borderId="0" xfId="0" applyFont="1"/>
    <xf numFmtId="0" fontId="0" fillId="0" borderId="15" xfId="0" applyBorder="1"/>
    <xf numFmtId="0" fontId="4" fillId="0" borderId="16" xfId="0" applyFont="1" applyBorder="1"/>
    <xf numFmtId="0" fontId="4" fillId="0" borderId="17" xfId="0" applyFont="1" applyBorder="1"/>
    <xf numFmtId="0" fontId="4" fillId="35" borderId="18" xfId="0" applyFont="1" applyFill="1" applyBorder="1"/>
    <xf numFmtId="49" fontId="4" fillId="35" borderId="16" xfId="0" applyNumberFormat="1" applyFont="1" applyFill="1" applyBorder="1"/>
    <xf numFmtId="0" fontId="4" fillId="35" borderId="19" xfId="0" applyFont="1" applyFill="1" applyBorder="1"/>
    <xf numFmtId="49" fontId="4" fillId="35" borderId="17" xfId="0" applyNumberFormat="1" applyFont="1" applyFill="1" applyBorder="1"/>
    <xf numFmtId="0" fontId="4" fillId="35" borderId="20" xfId="0" applyFont="1" applyFill="1" applyBorder="1"/>
    <xf numFmtId="49" fontId="4" fillId="35" borderId="21" xfId="0" applyNumberFormat="1" applyFont="1" applyFill="1" applyBorder="1"/>
    <xf numFmtId="0" fontId="9" fillId="0" borderId="0" xfId="0" applyFont="1"/>
    <xf numFmtId="0" fontId="9" fillId="0" borderId="22" xfId="0" applyFont="1" applyBorder="1" applyAlignment="1" applyProtection="1">
      <alignment vertical="center"/>
      <protection hidden="1"/>
    </xf>
    <xf numFmtId="0" fontId="9" fillId="0" borderId="0" xfId="0" applyFont="1" applyProtection="1">
      <protection hidden="1"/>
    </xf>
    <xf numFmtId="0" fontId="9" fillId="0" borderId="23" xfId="0" applyFont="1" applyBorder="1" applyAlignment="1" applyProtection="1">
      <alignment vertical="center"/>
      <protection hidden="1"/>
    </xf>
    <xf numFmtId="0" fontId="9" fillId="0" borderId="22" xfId="0" applyFont="1" applyBorder="1" applyProtection="1">
      <protection hidden="1"/>
    </xf>
    <xf numFmtId="0" fontId="9" fillId="0" borderId="23" xfId="0" applyFont="1" applyBorder="1" applyProtection="1">
      <protection hidden="1"/>
    </xf>
    <xf numFmtId="0" fontId="9" fillId="0" borderId="24" xfId="0" applyFont="1" applyBorder="1" applyProtection="1">
      <protection hidden="1"/>
    </xf>
    <xf numFmtId="0" fontId="9" fillId="0" borderId="24" xfId="0" applyFont="1" applyBorder="1" applyAlignment="1" applyProtection="1">
      <alignment vertical="center"/>
      <protection hidden="1"/>
    </xf>
    <xf numFmtId="0" fontId="0" fillId="0" borderId="0" xfId="0" applyAlignment="1">
      <alignment horizontal="center"/>
    </xf>
    <xf numFmtId="0" fontId="34" fillId="36" borderId="0" xfId="0" applyFont="1" applyFill="1"/>
    <xf numFmtId="0" fontId="0" fillId="0" borderId="0" xfId="0" applyProtection="1">
      <protection hidden="1"/>
    </xf>
    <xf numFmtId="44" fontId="0" fillId="0" borderId="0" xfId="0" applyNumberFormat="1"/>
    <xf numFmtId="0" fontId="5" fillId="0" borderId="0" xfId="0" applyFont="1" applyAlignment="1">
      <alignment horizontal="left"/>
    </xf>
    <xf numFmtId="0" fontId="0" fillId="37" borderId="0" xfId="0" applyFill="1"/>
    <xf numFmtId="0" fontId="15" fillId="0" borderId="0" xfId="0" applyFont="1" applyAlignment="1" applyProtection="1">
      <alignment vertical="top"/>
      <protection hidden="1"/>
    </xf>
    <xf numFmtId="0" fontId="33" fillId="0" borderId="27" xfId="0" applyFont="1" applyBorder="1" applyAlignment="1" applyProtection="1">
      <alignment vertical="center"/>
      <protection hidden="1"/>
    </xf>
    <xf numFmtId="0" fontId="11" fillId="0" borderId="0" xfId="0" applyFont="1" applyAlignment="1" applyProtection="1">
      <alignment vertical="top"/>
      <protection hidden="1"/>
    </xf>
    <xf numFmtId="0" fontId="11" fillId="0" borderId="0" xfId="0" applyFont="1" applyAlignment="1" applyProtection="1">
      <alignment vertical="center"/>
      <protection hidden="1"/>
    </xf>
    <xf numFmtId="0" fontId="22" fillId="0" borderId="27" xfId="0" applyFont="1" applyBorder="1" applyAlignment="1" applyProtection="1">
      <alignment vertical="center"/>
      <protection hidden="1"/>
    </xf>
    <xf numFmtId="0" fontId="11" fillId="0" borderId="23" xfId="0" applyFont="1" applyBorder="1" applyAlignment="1" applyProtection="1">
      <alignment vertical="center"/>
      <protection hidden="1"/>
    </xf>
    <xf numFmtId="0" fontId="11" fillId="0" borderId="22" xfId="0" applyFont="1" applyBorder="1" applyAlignment="1" applyProtection="1">
      <alignment vertical="center"/>
      <protection hidden="1"/>
    </xf>
    <xf numFmtId="0" fontId="21" fillId="0" borderId="28" xfId="0" applyFont="1" applyBorder="1" applyAlignment="1" applyProtection="1">
      <alignment horizontal="center" vertical="center"/>
      <protection hidden="1"/>
    </xf>
    <xf numFmtId="0" fontId="21" fillId="0" borderId="29" xfId="0" applyFont="1" applyBorder="1" applyAlignment="1" applyProtection="1">
      <alignment horizontal="center" vertical="center"/>
      <protection hidden="1"/>
    </xf>
    <xf numFmtId="0" fontId="18" fillId="0" borderId="23" xfId="0" applyFont="1" applyBorder="1" applyAlignment="1" applyProtection="1">
      <alignment vertical="center"/>
      <protection hidden="1"/>
    </xf>
    <xf numFmtId="0" fontId="18" fillId="0" borderId="22" xfId="0" applyFont="1" applyBorder="1" applyAlignment="1" applyProtection="1">
      <alignment vertical="center"/>
      <protection hidden="1"/>
    </xf>
    <xf numFmtId="0" fontId="18" fillId="0" borderId="24" xfId="0" applyFont="1" applyBorder="1" applyAlignment="1" applyProtection="1">
      <alignment vertical="center"/>
      <protection hidden="1"/>
    </xf>
    <xf numFmtId="0" fontId="11" fillId="0" borderId="24" xfId="0" applyFont="1" applyBorder="1" applyAlignment="1" applyProtection="1">
      <alignment vertical="center"/>
      <protection hidden="1"/>
    </xf>
    <xf numFmtId="0" fontId="32" fillId="38" borderId="25" xfId="0" applyFont="1" applyFill="1" applyBorder="1" applyAlignment="1" applyProtection="1">
      <alignment vertical="top"/>
      <protection hidden="1"/>
    </xf>
    <xf numFmtId="0" fontId="32" fillId="38" borderId="26" xfId="0" applyFont="1" applyFill="1" applyBorder="1" applyAlignment="1" applyProtection="1">
      <alignment vertical="top"/>
      <protection hidden="1"/>
    </xf>
    <xf numFmtId="0" fontId="32" fillId="38" borderId="11" xfId="0" applyFont="1" applyFill="1" applyBorder="1" applyAlignment="1" applyProtection="1">
      <alignment vertical="top"/>
      <protection hidden="1"/>
    </xf>
    <xf numFmtId="0" fontId="4" fillId="0" borderId="0" xfId="0" applyFont="1" applyProtection="1">
      <protection hidden="1"/>
    </xf>
    <xf numFmtId="165" fontId="20" fillId="0" borderId="37" xfId="0" applyNumberFormat="1" applyFont="1" applyBorder="1" applyAlignment="1" applyProtection="1">
      <alignment vertical="center"/>
      <protection hidden="1"/>
    </xf>
    <xf numFmtId="165" fontId="20" fillId="0" borderId="38" xfId="0" applyNumberFormat="1" applyFont="1" applyBorder="1" applyAlignment="1" applyProtection="1">
      <alignment vertical="center"/>
      <protection hidden="1"/>
    </xf>
    <xf numFmtId="165" fontId="20" fillId="0" borderId="36" xfId="0" applyNumberFormat="1" applyFont="1" applyBorder="1" applyAlignment="1" applyProtection="1">
      <alignment vertical="center"/>
      <protection hidden="1"/>
    </xf>
    <xf numFmtId="0" fontId="11" fillId="0" borderId="22" xfId="0" applyFont="1" applyBorder="1" applyAlignment="1" applyProtection="1">
      <alignment vertical="top"/>
      <protection hidden="1"/>
    </xf>
    <xf numFmtId="0" fontId="0" fillId="0" borderId="39" xfId="0" applyBorder="1" applyAlignment="1">
      <alignment horizontal="center"/>
    </xf>
    <xf numFmtId="3" fontId="0" fillId="0" borderId="0" xfId="0" applyNumberFormat="1" applyProtection="1">
      <protection hidden="1"/>
    </xf>
    <xf numFmtId="0" fontId="6" fillId="39" borderId="0" xfId="0" applyFont="1" applyFill="1" applyAlignment="1" applyProtection="1">
      <alignment horizontal="left"/>
      <protection locked="0"/>
    </xf>
    <xf numFmtId="0" fontId="4" fillId="0" borderId="0" xfId="0" applyFont="1" applyAlignment="1" applyProtection="1">
      <alignment wrapText="1"/>
      <protection hidden="1"/>
    </xf>
    <xf numFmtId="0" fontId="0" fillId="40" borderId="0" xfId="0" applyFill="1"/>
    <xf numFmtId="0" fontId="5" fillId="40" borderId="0" xfId="0" applyFont="1" applyFill="1"/>
    <xf numFmtId="0" fontId="0" fillId="0" borderId="15" xfId="0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39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9" fillId="0" borderId="0" xfId="0" applyFont="1" applyAlignment="1">
      <alignment horizontal="right"/>
    </xf>
    <xf numFmtId="174" fontId="0" fillId="0" borderId="0" xfId="11" applyNumberFormat="1" applyFont="1" applyFill="1" applyBorder="1" applyAlignment="1" applyProtection="1">
      <alignment horizontal="center"/>
      <protection hidden="1"/>
    </xf>
    <xf numFmtId="0" fontId="0" fillId="0" borderId="0" xfId="11" applyNumberFormat="1" applyFont="1" applyFill="1" applyBorder="1" applyAlignment="1" applyProtection="1">
      <alignment horizontal="center"/>
      <protection hidden="1"/>
    </xf>
    <xf numFmtId="44" fontId="0" fillId="0" borderId="0" xfId="11" applyFont="1" applyFill="1" applyBorder="1" applyAlignment="1" applyProtection="1">
      <alignment horizontal="center"/>
      <protection hidden="1"/>
    </xf>
    <xf numFmtId="174" fontId="4" fillId="0" borderId="0" xfId="11" applyNumberFormat="1" applyFont="1" applyFill="1" applyBorder="1" applyAlignment="1">
      <alignment horizontal="center"/>
    </xf>
    <xf numFmtId="3" fontId="5" fillId="0" borderId="0" xfId="0" applyNumberFormat="1" applyFont="1"/>
    <xf numFmtId="0" fontId="33" fillId="0" borderId="39" xfId="0" applyFont="1" applyBorder="1" applyAlignment="1" applyProtection="1">
      <alignment vertical="center"/>
      <protection hidden="1"/>
    </xf>
    <xf numFmtId="0" fontId="11" fillId="0" borderId="39" xfId="0" applyFont="1" applyBorder="1" applyAlignment="1" applyProtection="1">
      <alignment vertical="center"/>
      <protection hidden="1"/>
    </xf>
    <xf numFmtId="0" fontId="18" fillId="0" borderId="39" xfId="0" applyFont="1" applyBorder="1" applyAlignment="1" applyProtection="1">
      <alignment horizontal="center" vertical="center"/>
      <protection hidden="1"/>
    </xf>
    <xf numFmtId="0" fontId="9" fillId="0" borderId="39" xfId="0" applyFont="1" applyBorder="1" applyAlignment="1" applyProtection="1">
      <alignment vertical="center"/>
      <protection hidden="1"/>
    </xf>
    <xf numFmtId="0" fontId="10" fillId="0" borderId="39" xfId="0" applyFont="1" applyBorder="1" applyAlignment="1" applyProtection="1">
      <alignment horizontal="center" vertical="center"/>
      <protection hidden="1"/>
    </xf>
    <xf numFmtId="0" fontId="19" fillId="0" borderId="39" xfId="0" applyFont="1" applyBorder="1" applyAlignment="1" applyProtection="1">
      <alignment vertical="center"/>
      <protection hidden="1"/>
    </xf>
    <xf numFmtId="0" fontId="22" fillId="0" borderId="39" xfId="0" applyFont="1" applyBorder="1" applyAlignment="1" applyProtection="1">
      <alignment horizontal="center" vertical="center"/>
      <protection hidden="1"/>
    </xf>
    <xf numFmtId="0" fontId="21" fillId="0" borderId="39" xfId="0" applyFont="1" applyBorder="1" applyAlignment="1" applyProtection="1">
      <alignment horizontal="center" vertical="center"/>
      <protection hidden="1"/>
    </xf>
    <xf numFmtId="0" fontId="23" fillId="41" borderId="39" xfId="0" applyFont="1" applyFill="1" applyBorder="1" applyAlignment="1" applyProtection="1">
      <alignment horizontal="center" vertical="center"/>
      <protection hidden="1"/>
    </xf>
    <xf numFmtId="0" fontId="9" fillId="0" borderId="22" xfId="0" applyFont="1" applyBorder="1" applyAlignment="1" applyProtection="1">
      <alignment horizontal="center" vertical="center"/>
      <protection hidden="1"/>
    </xf>
    <xf numFmtId="0" fontId="9" fillId="0" borderId="23" xfId="0" applyFont="1" applyBorder="1" applyAlignment="1" applyProtection="1">
      <alignment horizontal="center" vertical="center"/>
      <protection hidden="1"/>
    </xf>
    <xf numFmtId="0" fontId="21" fillId="0" borderId="13" xfId="0" applyFont="1" applyBorder="1" applyAlignment="1" applyProtection="1">
      <alignment horizontal="center" vertical="center" textRotation="90" wrapText="1"/>
      <protection hidden="1"/>
    </xf>
    <xf numFmtId="0" fontId="9" fillId="0" borderId="28" xfId="0" applyFont="1" applyBorder="1" applyAlignment="1" applyProtection="1">
      <alignment horizontal="center"/>
      <protection hidden="1"/>
    </xf>
    <xf numFmtId="0" fontId="9" fillId="0" borderId="40" xfId="0" applyFont="1" applyBorder="1" applyProtection="1">
      <protection hidden="1"/>
    </xf>
    <xf numFmtId="0" fontId="15" fillId="0" borderId="39" xfId="0" applyFont="1" applyBorder="1" applyAlignment="1" applyProtection="1">
      <alignment horizontal="center" vertical="center"/>
      <protection hidden="1"/>
    </xf>
    <xf numFmtId="3" fontId="7" fillId="0" borderId="17" xfId="8" applyNumberFormat="1" applyFont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 textRotation="90" wrapText="1"/>
      <protection hidden="1"/>
    </xf>
    <xf numFmtId="0" fontId="9" fillId="0" borderId="41" xfId="0" applyFont="1" applyBorder="1" applyAlignment="1" applyProtection="1">
      <alignment horizontal="center" vertical="center"/>
      <protection hidden="1"/>
    </xf>
    <xf numFmtId="0" fontId="15" fillId="0" borderId="41" xfId="0" applyFont="1" applyBorder="1" applyAlignment="1" applyProtection="1">
      <alignment horizontal="center" vertical="center"/>
      <protection hidden="1"/>
    </xf>
    <xf numFmtId="0" fontId="9" fillId="0" borderId="42" xfId="0" applyFont="1" applyBorder="1" applyAlignment="1" applyProtection="1">
      <alignment horizontal="center" vertical="center"/>
      <protection hidden="1"/>
    </xf>
    <xf numFmtId="0" fontId="9" fillId="0" borderId="43" xfId="0" applyFont="1" applyBorder="1" applyAlignment="1" applyProtection="1">
      <alignment horizontal="center" vertical="center"/>
      <protection hidden="1"/>
    </xf>
    <xf numFmtId="0" fontId="23" fillId="0" borderId="39" xfId="0" applyFont="1" applyBorder="1" applyAlignment="1" applyProtection="1">
      <alignment horizontal="center" vertical="center"/>
      <protection hidden="1"/>
    </xf>
    <xf numFmtId="3" fontId="24" fillId="0" borderId="22" xfId="0" applyNumberFormat="1" applyFont="1" applyBorder="1" applyAlignment="1" applyProtection="1">
      <alignment vertical="center"/>
      <protection hidden="1"/>
    </xf>
    <xf numFmtId="0" fontId="21" fillId="0" borderId="22" xfId="0" applyFont="1" applyBorder="1" applyAlignment="1" applyProtection="1">
      <alignment horizontal="center" vertical="center"/>
      <protection hidden="1"/>
    </xf>
    <xf numFmtId="0" fontId="12" fillId="0" borderId="39" xfId="0" applyFont="1" applyBorder="1" applyAlignment="1" applyProtection="1">
      <alignment horizontal="center" vertical="center"/>
      <protection hidden="1"/>
    </xf>
    <xf numFmtId="0" fontId="23" fillId="0" borderId="27" xfId="0" applyFont="1" applyBorder="1" applyAlignment="1" applyProtection="1">
      <alignment horizontal="center" vertical="center"/>
      <protection hidden="1"/>
    </xf>
    <xf numFmtId="0" fontId="9" fillId="0" borderId="37" xfId="0" applyFont="1" applyBorder="1" applyAlignment="1" applyProtection="1">
      <alignment vertical="center"/>
      <protection hidden="1"/>
    </xf>
    <xf numFmtId="0" fontId="9" fillId="0" borderId="38" xfId="0" applyFont="1" applyBorder="1" applyAlignment="1" applyProtection="1">
      <alignment vertical="center"/>
      <protection hidden="1"/>
    </xf>
    <xf numFmtId="0" fontId="9" fillId="0" borderId="22" xfId="0" applyFont="1" applyBorder="1" applyAlignment="1" applyProtection="1">
      <alignment vertical="top"/>
      <protection hidden="1"/>
    </xf>
    <xf numFmtId="0" fontId="25" fillId="0" borderId="22" xfId="0" applyFont="1" applyBorder="1" applyAlignment="1" applyProtection="1">
      <alignment vertical="center"/>
      <protection hidden="1"/>
    </xf>
    <xf numFmtId="0" fontId="12" fillId="0" borderId="22" xfId="0" applyFont="1" applyBorder="1" applyAlignment="1" applyProtection="1">
      <alignment vertical="center"/>
      <protection hidden="1"/>
    </xf>
    <xf numFmtId="0" fontId="12" fillId="0" borderId="24" xfId="0" applyFont="1" applyBorder="1" applyAlignment="1" applyProtection="1">
      <alignment vertical="center"/>
      <protection hidden="1"/>
    </xf>
    <xf numFmtId="0" fontId="12" fillId="0" borderId="17" xfId="0" applyFont="1" applyBorder="1" applyAlignment="1" applyProtection="1">
      <alignment vertical="center"/>
      <protection hidden="1"/>
    </xf>
    <xf numFmtId="0" fontId="9" fillId="0" borderId="23" xfId="0" applyFont="1" applyBorder="1" applyAlignment="1" applyProtection="1">
      <alignment vertical="top"/>
      <protection hidden="1"/>
    </xf>
    <xf numFmtId="0" fontId="20" fillId="0" borderId="22" xfId="0" applyFont="1" applyBorder="1" applyAlignment="1" applyProtection="1">
      <alignment vertical="center"/>
      <protection hidden="1"/>
    </xf>
    <xf numFmtId="0" fontId="20" fillId="0" borderId="24" xfId="0" applyFont="1" applyBorder="1" applyAlignment="1" applyProtection="1">
      <alignment vertical="center"/>
      <protection hidden="1"/>
    </xf>
    <xf numFmtId="0" fontId="9" fillId="0" borderId="43" xfId="0" applyFont="1" applyBorder="1" applyAlignment="1" applyProtection="1">
      <alignment vertical="top"/>
      <protection hidden="1"/>
    </xf>
    <xf numFmtId="0" fontId="9" fillId="0" borderId="41" xfId="0" applyFont="1" applyBorder="1" applyAlignment="1" applyProtection="1">
      <alignment vertical="top"/>
      <protection hidden="1"/>
    </xf>
    <xf numFmtId="0" fontId="9" fillId="0" borderId="42" xfId="0" applyFont="1" applyBorder="1" applyAlignment="1" applyProtection="1">
      <alignment vertical="top"/>
      <protection hidden="1"/>
    </xf>
    <xf numFmtId="0" fontId="9" fillId="0" borderId="24" xfId="0" applyFont="1" applyBorder="1" applyAlignment="1" applyProtection="1">
      <alignment vertical="top"/>
      <protection hidden="1"/>
    </xf>
    <xf numFmtId="0" fontId="8" fillId="0" borderId="23" xfId="13" applyFill="1" applyBorder="1" applyAlignment="1" applyProtection="1">
      <alignment vertical="center"/>
      <protection hidden="1"/>
    </xf>
    <xf numFmtId="0" fontId="26" fillId="0" borderId="22" xfId="6" applyFont="1" applyFill="1" applyBorder="1" applyAlignment="1" applyProtection="1">
      <alignment vertical="center"/>
      <protection hidden="1"/>
    </xf>
    <xf numFmtId="0" fontId="26" fillId="0" borderId="24" xfId="6" applyFont="1" applyFill="1" applyBorder="1" applyAlignment="1" applyProtection="1">
      <alignment vertical="center"/>
      <protection hidden="1"/>
    </xf>
    <xf numFmtId="0" fontId="24" fillId="0" borderId="23" xfId="0" applyFont="1" applyBorder="1" applyAlignment="1" applyProtection="1">
      <alignment vertical="center"/>
      <protection hidden="1"/>
    </xf>
    <xf numFmtId="0" fontId="24" fillId="0" borderId="22" xfId="0" applyFont="1" applyBorder="1" applyAlignment="1" applyProtection="1">
      <alignment vertical="center"/>
      <protection hidden="1"/>
    </xf>
    <xf numFmtId="0" fontId="9" fillId="0" borderId="17" xfId="0" applyFont="1" applyBorder="1" applyAlignment="1" applyProtection="1">
      <alignment vertical="top"/>
      <protection hidden="1"/>
    </xf>
    <xf numFmtId="0" fontId="24" fillId="0" borderId="17" xfId="0" applyFont="1" applyBorder="1" applyAlignment="1" applyProtection="1">
      <alignment vertical="center"/>
      <protection hidden="1"/>
    </xf>
    <xf numFmtId="1" fontId="0" fillId="0" borderId="39" xfId="0" applyNumberFormat="1" applyBorder="1" applyAlignment="1">
      <alignment horizontal="center" vertical="center"/>
    </xf>
    <xf numFmtId="0" fontId="0" fillId="0" borderId="28" xfId="0" applyBorder="1" applyAlignment="1">
      <alignment horizontal="center"/>
    </xf>
    <xf numFmtId="167" fontId="5" fillId="0" borderId="0" xfId="0" applyNumberFormat="1" applyFont="1"/>
    <xf numFmtId="0" fontId="55" fillId="0" borderId="0" xfId="0" applyFont="1" applyProtection="1">
      <protection hidden="1"/>
    </xf>
    <xf numFmtId="0" fontId="0" fillId="39" borderId="0" xfId="0" applyFill="1"/>
    <xf numFmtId="0" fontId="6" fillId="37" borderId="15" xfId="0" applyFont="1" applyFill="1" applyBorder="1" applyAlignment="1" applyProtection="1">
      <alignment horizontal="left"/>
      <protection locked="0"/>
    </xf>
    <xf numFmtId="0" fontId="6" fillId="37" borderId="31" xfId="0" applyFont="1" applyFill="1" applyBorder="1" applyAlignment="1" applyProtection="1">
      <alignment horizontal="left"/>
      <protection locked="0"/>
    </xf>
    <xf numFmtId="0" fontId="6" fillId="37" borderId="31" xfId="0" quotePrefix="1" applyFont="1" applyFill="1" applyBorder="1" applyAlignment="1" applyProtection="1">
      <alignment horizontal="left"/>
      <protection locked="0"/>
    </xf>
    <xf numFmtId="0" fontId="6" fillId="37" borderId="31" xfId="0" applyFont="1" applyFill="1" applyBorder="1" applyProtection="1">
      <protection locked="0"/>
    </xf>
    <xf numFmtId="0" fontId="11" fillId="0" borderId="53" xfId="0" applyFont="1" applyBorder="1" applyAlignment="1" applyProtection="1">
      <alignment horizontal="center" vertical="center"/>
      <protection hidden="1"/>
    </xf>
    <xf numFmtId="0" fontId="11" fillId="0" borderId="41" xfId="0" applyFont="1" applyBorder="1" applyAlignment="1" applyProtection="1">
      <alignment horizontal="center" vertical="center"/>
      <protection hidden="1"/>
    </xf>
    <xf numFmtId="0" fontId="11" fillId="0" borderId="13" xfId="0" applyFont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4" fillId="41" borderId="41" xfId="0" applyFont="1" applyFill="1" applyBorder="1" applyAlignment="1" applyProtection="1">
      <alignment horizontal="center" vertical="center"/>
      <protection hidden="1"/>
    </xf>
    <xf numFmtId="0" fontId="14" fillId="41" borderId="0" xfId="0" applyFont="1" applyFill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center" vertical="top"/>
      <protection hidden="1"/>
    </xf>
    <xf numFmtId="0" fontId="9" fillId="0" borderId="12" xfId="0" applyFont="1" applyBorder="1" applyAlignment="1" applyProtection="1">
      <alignment horizontal="center" vertical="center"/>
      <protection hidden="1"/>
    </xf>
    <xf numFmtId="0" fontId="9" fillId="0" borderId="39" xfId="0" applyFont="1" applyBorder="1" applyAlignment="1" applyProtection="1">
      <alignment horizontal="center" vertical="center"/>
      <protection hidden="1"/>
    </xf>
    <xf numFmtId="0" fontId="9" fillId="0" borderId="39" xfId="0" applyFont="1" applyBorder="1" applyAlignment="1" applyProtection="1">
      <alignment horizontal="center" vertical="center" wrapText="1"/>
      <protection hidden="1"/>
    </xf>
    <xf numFmtId="0" fontId="9" fillId="0" borderId="23" xfId="0" applyFont="1" applyBorder="1" applyAlignment="1" applyProtection="1">
      <alignment horizontal="center" vertical="center" wrapText="1"/>
      <protection hidden="1"/>
    </xf>
    <xf numFmtId="0" fontId="9" fillId="0" borderId="22" xfId="0" applyFont="1" applyBorder="1" applyAlignment="1" applyProtection="1">
      <alignment horizontal="center" vertical="center" wrapText="1"/>
      <protection hidden="1"/>
    </xf>
    <xf numFmtId="0" fontId="9" fillId="0" borderId="24" xfId="0" applyFont="1" applyBorder="1" applyAlignment="1" applyProtection="1">
      <alignment horizontal="center" vertical="center" wrapText="1"/>
      <protection hidden="1"/>
    </xf>
    <xf numFmtId="0" fontId="20" fillId="0" borderId="23" xfId="0" applyFont="1" applyBorder="1" applyAlignment="1" applyProtection="1">
      <alignment horizontal="center" vertical="center"/>
      <protection hidden="1"/>
    </xf>
    <xf numFmtId="0" fontId="20" fillId="0" borderId="22" xfId="0" applyFont="1" applyBorder="1" applyAlignment="1" applyProtection="1">
      <alignment horizontal="center" vertical="center"/>
      <protection hidden="1"/>
    </xf>
    <xf numFmtId="0" fontId="20" fillId="0" borderId="45" xfId="0" applyFont="1" applyBorder="1" applyAlignment="1" applyProtection="1">
      <alignment horizontal="center" vertical="center"/>
      <protection hidden="1"/>
    </xf>
    <xf numFmtId="0" fontId="10" fillId="0" borderId="46" xfId="0" applyFont="1" applyBorder="1" applyAlignment="1" applyProtection="1">
      <alignment horizontal="center" vertical="center"/>
      <protection hidden="1"/>
    </xf>
    <xf numFmtId="0" fontId="10" fillId="0" borderId="52" xfId="0" applyFont="1" applyBorder="1" applyAlignment="1" applyProtection="1">
      <alignment horizontal="center" vertical="center"/>
      <protection hidden="1"/>
    </xf>
    <xf numFmtId="0" fontId="10" fillId="0" borderId="16" xfId="0" applyFont="1" applyBorder="1" applyAlignment="1" applyProtection="1">
      <alignment horizontal="center" vertical="center"/>
      <protection hidden="1"/>
    </xf>
    <xf numFmtId="0" fontId="11" fillId="0" borderId="57" xfId="0" applyFont="1" applyBorder="1" applyAlignment="1" applyProtection="1">
      <alignment horizontal="left" vertical="center"/>
      <protection hidden="1"/>
    </xf>
    <xf numFmtId="0" fontId="11" fillId="0" borderId="22" xfId="0" applyFont="1" applyBorder="1" applyAlignment="1" applyProtection="1">
      <alignment horizontal="left" vertical="center"/>
      <protection hidden="1"/>
    </xf>
    <xf numFmtId="0" fontId="12" fillId="41" borderId="22" xfId="0" applyFont="1" applyFill="1" applyBorder="1" applyAlignment="1" applyProtection="1">
      <alignment horizontal="left"/>
      <protection hidden="1"/>
    </xf>
    <xf numFmtId="0" fontId="12" fillId="41" borderId="24" xfId="0" applyFont="1" applyFill="1" applyBorder="1" applyAlignment="1" applyProtection="1">
      <alignment horizontal="left"/>
      <protection hidden="1"/>
    </xf>
    <xf numFmtId="0" fontId="13" fillId="0" borderId="43" xfId="0" applyFont="1" applyBorder="1" applyAlignment="1" applyProtection="1">
      <alignment horizontal="center" vertical="center"/>
      <protection hidden="1"/>
    </xf>
    <xf numFmtId="0" fontId="13" fillId="0" borderId="41" xfId="0" applyFont="1" applyBorder="1" applyAlignment="1" applyProtection="1">
      <alignment horizontal="center" vertical="center"/>
      <protection hidden="1"/>
    </xf>
    <xf numFmtId="0" fontId="13" fillId="0" borderId="40" xfId="0" applyFont="1" applyBorder="1" applyAlignment="1" applyProtection="1">
      <alignment horizontal="center" vertical="center"/>
      <protection hidden="1"/>
    </xf>
    <xf numFmtId="0" fontId="11" fillId="0" borderId="24" xfId="0" applyFont="1" applyBorder="1" applyAlignment="1" applyProtection="1">
      <alignment horizontal="left" vertical="center"/>
      <protection hidden="1"/>
    </xf>
    <xf numFmtId="14" fontId="23" fillId="0" borderId="55" xfId="0" applyNumberFormat="1" applyFont="1" applyBorder="1" applyAlignment="1" applyProtection="1">
      <alignment horizontal="center" vertical="center"/>
      <protection hidden="1"/>
    </xf>
    <xf numFmtId="14" fontId="23" fillId="0" borderId="0" xfId="0" applyNumberFormat="1" applyFont="1" applyAlignment="1" applyProtection="1">
      <alignment horizontal="center" vertical="center"/>
      <protection hidden="1"/>
    </xf>
    <xf numFmtId="14" fontId="23" fillId="0" borderId="14" xfId="0" applyNumberFormat="1" applyFont="1" applyBorder="1" applyAlignment="1" applyProtection="1">
      <alignment horizontal="center" vertical="center"/>
      <protection hidden="1"/>
    </xf>
    <xf numFmtId="0" fontId="9" fillId="0" borderId="37" xfId="0" applyFont="1" applyBorder="1" applyAlignment="1" applyProtection="1">
      <alignment horizontal="center" vertical="center" wrapText="1"/>
      <protection hidden="1"/>
    </xf>
    <xf numFmtId="0" fontId="9" fillId="0" borderId="38" xfId="0" applyFont="1" applyBorder="1" applyAlignment="1" applyProtection="1">
      <alignment horizontal="center" vertical="center" wrapText="1"/>
      <protection hidden="1"/>
    </xf>
    <xf numFmtId="0" fontId="9" fillId="0" borderId="45" xfId="0" applyFont="1" applyBorder="1" applyAlignment="1" applyProtection="1">
      <alignment horizontal="center" vertical="center" wrapText="1"/>
      <protection hidden="1"/>
    </xf>
    <xf numFmtId="0" fontId="21" fillId="0" borderId="53" xfId="0" applyFont="1" applyBorder="1" applyAlignment="1" applyProtection="1">
      <alignment horizontal="center" vertical="center" textRotation="90" wrapText="1"/>
      <protection hidden="1"/>
    </xf>
    <xf numFmtId="0" fontId="21" fillId="0" borderId="42" xfId="0" applyFont="1" applyBorder="1" applyAlignment="1" applyProtection="1">
      <alignment horizontal="center" vertical="center" textRotation="90" wrapText="1"/>
      <protection hidden="1"/>
    </xf>
    <xf numFmtId="0" fontId="21" fillId="0" borderId="13" xfId="0" applyFont="1" applyBorder="1" applyAlignment="1" applyProtection="1">
      <alignment horizontal="center" vertical="center" textRotation="90" wrapText="1"/>
      <protection hidden="1"/>
    </xf>
    <xf numFmtId="0" fontId="21" fillId="0" borderId="34" xfId="0" applyFont="1" applyBorder="1" applyAlignment="1" applyProtection="1">
      <alignment horizontal="center" vertical="center" textRotation="90" wrapText="1"/>
      <protection hidden="1"/>
    </xf>
    <xf numFmtId="0" fontId="21" fillId="0" borderId="54" xfId="0" applyFont="1" applyBorder="1" applyAlignment="1" applyProtection="1">
      <alignment horizontal="center" vertical="center" textRotation="90" wrapText="1"/>
      <protection hidden="1"/>
    </xf>
    <xf numFmtId="0" fontId="21" fillId="0" borderId="45" xfId="0" applyFont="1" applyBorder="1" applyAlignment="1" applyProtection="1">
      <alignment horizontal="center" vertical="center" textRotation="90" wrapText="1"/>
      <protection hidden="1"/>
    </xf>
    <xf numFmtId="0" fontId="12" fillId="0" borderId="23" xfId="0" applyFont="1" applyBorder="1" applyAlignment="1" applyProtection="1">
      <alignment horizontal="center" vertical="center"/>
      <protection hidden="1"/>
    </xf>
    <xf numFmtId="0" fontId="12" fillId="0" borderId="22" xfId="0" applyFont="1" applyBorder="1" applyAlignment="1" applyProtection="1">
      <alignment horizontal="center" vertical="center"/>
      <protection hidden="1"/>
    </xf>
    <xf numFmtId="0" fontId="12" fillId="0" borderId="17" xfId="0" applyFont="1" applyBorder="1" applyAlignment="1" applyProtection="1">
      <alignment horizontal="center" vertical="center"/>
      <protection hidden="1"/>
    </xf>
    <xf numFmtId="3" fontId="12" fillId="0" borderId="23" xfId="0" applyNumberFormat="1" applyFont="1" applyBorder="1" applyAlignment="1" applyProtection="1">
      <alignment horizontal="center" vertical="center"/>
      <protection hidden="1"/>
    </xf>
    <xf numFmtId="3" fontId="12" fillId="0" borderId="22" xfId="0" applyNumberFormat="1" applyFont="1" applyBorder="1" applyAlignment="1" applyProtection="1">
      <alignment horizontal="center" vertical="center"/>
      <protection hidden="1"/>
    </xf>
    <xf numFmtId="3" fontId="12" fillId="0" borderId="24" xfId="0" applyNumberFormat="1" applyFont="1" applyBorder="1" applyAlignment="1" applyProtection="1">
      <alignment horizontal="center" vertical="center"/>
      <protection hidden="1"/>
    </xf>
    <xf numFmtId="0" fontId="12" fillId="0" borderId="24" xfId="0" applyFont="1" applyBorder="1" applyAlignment="1" applyProtection="1">
      <alignment horizontal="center" vertical="center"/>
      <protection hidden="1"/>
    </xf>
    <xf numFmtId="3" fontId="28" fillId="42" borderId="23" xfId="7" applyNumberFormat="1" applyFont="1" applyFill="1" applyBorder="1" applyAlignment="1" applyProtection="1">
      <alignment vertical="center"/>
      <protection hidden="1"/>
    </xf>
    <xf numFmtId="3" fontId="28" fillId="42" borderId="22" xfId="7" applyNumberFormat="1" applyFont="1" applyFill="1" applyBorder="1" applyAlignment="1" applyProtection="1">
      <alignment vertical="center"/>
      <protection hidden="1"/>
    </xf>
    <xf numFmtId="3" fontId="28" fillId="42" borderId="17" xfId="7" applyNumberFormat="1" applyFont="1" applyFill="1" applyBorder="1" applyAlignment="1" applyProtection="1">
      <alignment vertical="center"/>
      <protection hidden="1"/>
    </xf>
    <xf numFmtId="0" fontId="9" fillId="0" borderId="23" xfId="0" applyFont="1" applyBorder="1" applyAlignment="1" applyProtection="1">
      <alignment horizontal="left" vertical="top"/>
      <protection hidden="1"/>
    </xf>
    <xf numFmtId="0" fontId="9" fillId="0" borderId="22" xfId="0" applyFont="1" applyBorder="1" applyAlignment="1" applyProtection="1">
      <alignment horizontal="left" vertical="top"/>
      <protection hidden="1"/>
    </xf>
    <xf numFmtId="0" fontId="9" fillId="0" borderId="24" xfId="0" applyFont="1" applyBorder="1" applyAlignment="1" applyProtection="1">
      <alignment horizontal="left" vertical="top"/>
      <protection hidden="1"/>
    </xf>
    <xf numFmtId="3" fontId="28" fillId="42" borderId="23" xfId="7" applyNumberFormat="1" applyFont="1" applyFill="1" applyBorder="1" applyAlignment="1" applyProtection="1">
      <alignment horizontal="right" vertical="center"/>
      <protection hidden="1"/>
    </xf>
    <xf numFmtId="3" fontId="28" fillId="42" borderId="22" xfId="7" applyNumberFormat="1" applyFont="1" applyFill="1" applyBorder="1" applyAlignment="1" applyProtection="1">
      <alignment horizontal="right" vertical="center"/>
      <protection hidden="1"/>
    </xf>
    <xf numFmtId="3" fontId="28" fillId="42" borderId="17" xfId="7" applyNumberFormat="1" applyFont="1" applyFill="1" applyBorder="1" applyAlignment="1" applyProtection="1">
      <alignment horizontal="right" vertical="center"/>
      <protection hidden="1"/>
    </xf>
    <xf numFmtId="3" fontId="27" fillId="41" borderId="23" xfId="7" applyNumberFormat="1" applyFont="1" applyFill="1" applyBorder="1" applyAlignment="1" applyProtection="1">
      <alignment horizontal="right"/>
      <protection hidden="1"/>
    </xf>
    <xf numFmtId="3" fontId="27" fillId="41" borderId="22" xfId="7" applyNumberFormat="1" applyFont="1" applyFill="1" applyBorder="1" applyAlignment="1" applyProtection="1">
      <alignment horizontal="right"/>
      <protection hidden="1"/>
    </xf>
    <xf numFmtId="3" fontId="27" fillId="41" borderId="17" xfId="7" applyNumberFormat="1" applyFont="1" applyFill="1" applyBorder="1" applyAlignment="1" applyProtection="1">
      <alignment horizontal="right"/>
      <protection hidden="1"/>
    </xf>
    <xf numFmtId="0" fontId="9" fillId="0" borderId="23" xfId="0" applyFont="1" applyBorder="1" applyAlignment="1" applyProtection="1">
      <alignment horizontal="left" vertical="center"/>
      <protection hidden="1"/>
    </xf>
    <xf numFmtId="0" fontId="9" fillId="0" borderId="22" xfId="0" applyFont="1" applyBorder="1" applyAlignment="1" applyProtection="1">
      <alignment horizontal="left" vertical="center"/>
      <protection hidden="1"/>
    </xf>
    <xf numFmtId="0" fontId="9" fillId="0" borderId="24" xfId="0" applyFont="1" applyBorder="1" applyAlignment="1" applyProtection="1">
      <alignment horizontal="left" vertical="center"/>
      <protection hidden="1"/>
    </xf>
    <xf numFmtId="3" fontId="28" fillId="42" borderId="23" xfId="7" applyNumberFormat="1" applyFont="1" applyFill="1" applyBorder="1" applyAlignment="1" applyProtection="1">
      <alignment horizontal="right"/>
      <protection hidden="1"/>
    </xf>
    <xf numFmtId="3" fontId="28" fillId="42" borderId="22" xfId="7" applyNumberFormat="1" applyFont="1" applyFill="1" applyBorder="1" applyAlignment="1" applyProtection="1">
      <alignment horizontal="right"/>
      <protection hidden="1"/>
    </xf>
    <xf numFmtId="3" fontId="28" fillId="42" borderId="17" xfId="7" applyNumberFormat="1" applyFont="1" applyFill="1" applyBorder="1" applyAlignment="1" applyProtection="1">
      <alignment horizontal="right"/>
      <protection hidden="1"/>
    </xf>
    <xf numFmtId="0" fontId="18" fillId="0" borderId="23" xfId="0" applyFont="1" applyBorder="1" applyAlignment="1" applyProtection="1">
      <alignment horizontal="center" vertical="center"/>
      <protection hidden="1"/>
    </xf>
    <xf numFmtId="0" fontId="18" fillId="0" borderId="22" xfId="0" applyFont="1" applyBorder="1" applyAlignment="1" applyProtection="1">
      <alignment horizontal="center" vertical="center"/>
      <protection hidden="1"/>
    </xf>
    <xf numFmtId="0" fontId="18" fillId="0" borderId="17" xfId="0" applyFont="1" applyBorder="1" applyAlignment="1" applyProtection="1">
      <alignment horizontal="center" vertical="center"/>
      <protection hidden="1"/>
    </xf>
    <xf numFmtId="0" fontId="9" fillId="0" borderId="23" xfId="0" applyFont="1" applyBorder="1" applyAlignment="1" applyProtection="1">
      <alignment horizontal="center" vertical="center"/>
      <protection hidden="1"/>
    </xf>
    <xf numFmtId="0" fontId="9" fillId="0" borderId="22" xfId="0" applyFont="1" applyBorder="1" applyAlignment="1" applyProtection="1">
      <alignment horizontal="center" vertical="center"/>
      <protection hidden="1"/>
    </xf>
    <xf numFmtId="0" fontId="9" fillId="0" borderId="24" xfId="0" applyFont="1" applyBorder="1" applyAlignment="1" applyProtection="1">
      <alignment horizontal="center" vertical="center"/>
      <protection hidden="1"/>
    </xf>
    <xf numFmtId="0" fontId="27" fillId="0" borderId="23" xfId="0" applyFont="1" applyBorder="1" applyAlignment="1" applyProtection="1">
      <alignment horizontal="center" vertical="center"/>
      <protection hidden="1"/>
    </xf>
    <xf numFmtId="0" fontId="27" fillId="0" borderId="22" xfId="0" applyFont="1" applyBorder="1" applyAlignment="1" applyProtection="1">
      <alignment horizontal="center" vertical="center"/>
      <protection hidden="1"/>
    </xf>
    <xf numFmtId="0" fontId="27" fillId="0" borderId="24" xfId="0" applyFont="1" applyBorder="1" applyAlignment="1" applyProtection="1">
      <alignment horizontal="center" vertical="center"/>
      <protection hidden="1"/>
    </xf>
    <xf numFmtId="166" fontId="27" fillId="0" borderId="23" xfId="0" applyNumberFormat="1" applyFont="1" applyBorder="1" applyAlignment="1" applyProtection="1">
      <alignment horizontal="center" vertical="center"/>
      <protection hidden="1"/>
    </xf>
    <xf numFmtId="166" fontId="27" fillId="0" borderId="22" xfId="0" applyNumberFormat="1" applyFont="1" applyBorder="1" applyAlignment="1" applyProtection="1">
      <alignment horizontal="center" vertical="center"/>
      <protection hidden="1"/>
    </xf>
    <xf numFmtId="166" fontId="27" fillId="0" borderId="24" xfId="0" applyNumberFormat="1" applyFont="1" applyBorder="1" applyAlignment="1" applyProtection="1">
      <alignment horizontal="center" vertical="center"/>
      <protection hidden="1"/>
    </xf>
    <xf numFmtId="167" fontId="27" fillId="0" borderId="23" xfId="0" applyNumberFormat="1" applyFont="1" applyBorder="1" applyAlignment="1" applyProtection="1">
      <alignment horizontal="center"/>
      <protection hidden="1"/>
    </xf>
    <xf numFmtId="167" fontId="27" fillId="0" borderId="22" xfId="0" applyNumberFormat="1" applyFont="1" applyBorder="1" applyAlignment="1" applyProtection="1">
      <alignment horizontal="center"/>
      <protection hidden="1"/>
    </xf>
    <xf numFmtId="167" fontId="27" fillId="0" borderId="24" xfId="0" applyNumberFormat="1" applyFont="1" applyBorder="1" applyAlignment="1" applyProtection="1">
      <alignment horizontal="center"/>
      <protection hidden="1"/>
    </xf>
    <xf numFmtId="3" fontId="27" fillId="42" borderId="23" xfId="0" applyNumberFormat="1" applyFont="1" applyFill="1" applyBorder="1" applyAlignment="1" applyProtection="1">
      <alignment horizontal="right" vertical="center"/>
      <protection hidden="1"/>
    </xf>
    <xf numFmtId="3" fontId="27" fillId="42" borderId="22" xfId="0" applyNumberFormat="1" applyFont="1" applyFill="1" applyBorder="1" applyAlignment="1" applyProtection="1">
      <alignment horizontal="right" vertical="center"/>
      <protection hidden="1"/>
    </xf>
    <xf numFmtId="3" fontId="27" fillId="42" borderId="17" xfId="0" applyNumberFormat="1" applyFont="1" applyFill="1" applyBorder="1" applyAlignment="1" applyProtection="1">
      <alignment horizontal="right" vertical="center"/>
      <protection hidden="1"/>
    </xf>
    <xf numFmtId="166" fontId="27" fillId="35" borderId="23" xfId="0" applyNumberFormat="1" applyFont="1" applyFill="1" applyBorder="1" applyAlignment="1" applyProtection="1">
      <alignment horizontal="center" vertical="center"/>
      <protection hidden="1"/>
    </xf>
    <xf numFmtId="166" fontId="27" fillId="35" borderId="22" xfId="0" applyNumberFormat="1" applyFont="1" applyFill="1" applyBorder="1" applyAlignment="1" applyProtection="1">
      <alignment horizontal="center" vertical="center"/>
      <protection hidden="1"/>
    </xf>
    <xf numFmtId="166" fontId="27" fillId="35" borderId="24" xfId="0" applyNumberFormat="1" applyFont="1" applyFill="1" applyBorder="1" applyAlignment="1" applyProtection="1">
      <alignment horizontal="center" vertical="center"/>
      <protection hidden="1"/>
    </xf>
    <xf numFmtId="0" fontId="21" fillId="0" borderId="57" xfId="0" applyFont="1" applyBorder="1" applyAlignment="1" applyProtection="1">
      <alignment horizontal="center" vertical="center" textRotation="90" wrapText="1"/>
      <protection hidden="1"/>
    </xf>
    <xf numFmtId="0" fontId="21" fillId="0" borderId="24" xfId="0" applyFont="1" applyBorder="1" applyAlignment="1" applyProtection="1">
      <alignment horizontal="center" vertical="center" textRotation="90" wrapText="1"/>
      <protection hidden="1"/>
    </xf>
    <xf numFmtId="3" fontId="27" fillId="43" borderId="23" xfId="0" applyNumberFormat="1" applyFont="1" applyFill="1" applyBorder="1" applyAlignment="1" applyProtection="1">
      <alignment horizontal="right" vertical="center"/>
      <protection hidden="1"/>
    </xf>
    <xf numFmtId="3" fontId="27" fillId="43" borderId="22" xfId="0" applyNumberFormat="1" applyFont="1" applyFill="1" applyBorder="1" applyAlignment="1" applyProtection="1">
      <alignment horizontal="right" vertical="center"/>
      <protection hidden="1"/>
    </xf>
    <xf numFmtId="3" fontId="27" fillId="43" borderId="17" xfId="0" applyNumberFormat="1" applyFont="1" applyFill="1" applyBorder="1" applyAlignment="1" applyProtection="1">
      <alignment horizontal="right" vertical="center"/>
      <protection hidden="1"/>
    </xf>
    <xf numFmtId="3" fontId="28" fillId="42" borderId="23" xfId="0" applyNumberFormat="1" applyFont="1" applyFill="1" applyBorder="1" applyAlignment="1" applyProtection="1">
      <alignment horizontal="right" vertical="center"/>
      <protection hidden="1"/>
    </xf>
    <xf numFmtId="3" fontId="28" fillId="42" borderId="22" xfId="0" applyNumberFormat="1" applyFont="1" applyFill="1" applyBorder="1" applyAlignment="1" applyProtection="1">
      <alignment horizontal="right" vertical="center"/>
      <protection hidden="1"/>
    </xf>
    <xf numFmtId="3" fontId="28" fillId="42" borderId="17" xfId="0" applyNumberFormat="1" applyFont="1" applyFill="1" applyBorder="1" applyAlignment="1" applyProtection="1">
      <alignment horizontal="right" vertical="center"/>
      <protection hidden="1"/>
    </xf>
    <xf numFmtId="3" fontId="27" fillId="42" borderId="23" xfId="7" applyNumberFormat="1" applyFont="1" applyFill="1" applyBorder="1" applyAlignment="1" applyProtection="1">
      <alignment horizontal="right" vertical="center"/>
      <protection hidden="1"/>
    </xf>
    <xf numFmtId="3" fontId="27" fillId="42" borderId="22" xfId="7" applyNumberFormat="1" applyFont="1" applyFill="1" applyBorder="1" applyAlignment="1" applyProtection="1">
      <alignment horizontal="right" vertical="center"/>
      <protection hidden="1"/>
    </xf>
    <xf numFmtId="3" fontId="27" fillId="42" borderId="17" xfId="7" applyNumberFormat="1" applyFont="1" applyFill="1" applyBorder="1" applyAlignment="1" applyProtection="1">
      <alignment horizontal="right" vertical="center"/>
      <protection hidden="1"/>
    </xf>
    <xf numFmtId="3" fontId="27" fillId="42" borderId="23" xfId="7" applyNumberFormat="1" applyFont="1" applyFill="1" applyBorder="1" applyAlignment="1" applyProtection="1">
      <alignment vertical="center"/>
      <protection hidden="1"/>
    </xf>
    <xf numFmtId="3" fontId="27" fillId="42" borderId="22" xfId="7" applyNumberFormat="1" applyFont="1" applyFill="1" applyBorder="1" applyAlignment="1" applyProtection="1">
      <alignment vertical="center"/>
      <protection hidden="1"/>
    </xf>
    <xf numFmtId="3" fontId="27" fillId="42" borderId="17" xfId="7" applyNumberFormat="1" applyFont="1" applyFill="1" applyBorder="1" applyAlignment="1" applyProtection="1">
      <alignment vertical="center"/>
      <protection hidden="1"/>
    </xf>
    <xf numFmtId="0" fontId="13" fillId="41" borderId="23" xfId="0" applyFont="1" applyFill="1" applyBorder="1" applyAlignment="1" applyProtection="1">
      <alignment horizontal="center" vertical="center"/>
      <protection hidden="1"/>
    </xf>
    <xf numFmtId="0" fontId="13" fillId="41" borderId="22" xfId="0" applyFont="1" applyFill="1" applyBorder="1" applyAlignment="1" applyProtection="1">
      <alignment horizontal="center" vertical="center"/>
      <protection hidden="1"/>
    </xf>
    <xf numFmtId="0" fontId="13" fillId="41" borderId="24" xfId="0" applyFont="1" applyFill="1" applyBorder="1" applyAlignment="1" applyProtection="1">
      <alignment horizontal="center" vertical="center"/>
      <protection hidden="1"/>
    </xf>
    <xf numFmtId="0" fontId="21" fillId="0" borderId="53" xfId="0" applyFont="1" applyBorder="1" applyAlignment="1" applyProtection="1">
      <alignment horizontal="center" vertical="center" wrapText="1"/>
      <protection hidden="1"/>
    </xf>
    <xf numFmtId="0" fontId="21" fillId="0" borderId="41" xfId="0" applyFont="1" applyBorder="1" applyAlignment="1" applyProtection="1">
      <alignment horizontal="center" vertical="center" wrapText="1"/>
      <protection hidden="1"/>
    </xf>
    <xf numFmtId="0" fontId="21" fillId="0" borderId="42" xfId="0" applyFont="1" applyBorder="1" applyAlignment="1" applyProtection="1">
      <alignment horizontal="center" vertical="center" wrapText="1"/>
      <protection hidden="1"/>
    </xf>
    <xf numFmtId="0" fontId="21" fillId="0" borderId="13" xfId="0" applyFont="1" applyBorder="1" applyAlignment="1" applyProtection="1">
      <alignment horizontal="center" vertical="center" wrapText="1"/>
      <protection hidden="1"/>
    </xf>
    <xf numFmtId="0" fontId="21" fillId="0" borderId="0" xfId="0" applyFont="1" applyAlignment="1" applyProtection="1">
      <alignment horizontal="center" vertical="center" wrapText="1"/>
      <protection hidden="1"/>
    </xf>
    <xf numFmtId="0" fontId="21" fillId="0" borderId="34" xfId="0" applyFont="1" applyBorder="1" applyAlignment="1" applyProtection="1">
      <alignment horizontal="center" vertical="center" wrapText="1"/>
      <protection hidden="1"/>
    </xf>
    <xf numFmtId="0" fontId="21" fillId="0" borderId="54" xfId="0" applyFont="1" applyBorder="1" applyAlignment="1" applyProtection="1">
      <alignment horizontal="center" vertical="center" wrapText="1"/>
      <protection hidden="1"/>
    </xf>
    <xf numFmtId="0" fontId="21" fillId="0" borderId="38" xfId="0" applyFont="1" applyBorder="1" applyAlignment="1" applyProtection="1">
      <alignment horizontal="center" vertical="center" wrapText="1"/>
      <protection hidden="1"/>
    </xf>
    <xf numFmtId="0" fontId="21" fillId="0" borderId="45" xfId="0" applyFont="1" applyBorder="1" applyAlignment="1" applyProtection="1">
      <alignment horizontal="center" vertical="center" wrapText="1"/>
      <protection hidden="1"/>
    </xf>
    <xf numFmtId="0" fontId="9" fillId="0" borderId="39" xfId="0" applyFont="1" applyBorder="1" applyAlignment="1" applyProtection="1">
      <alignment horizontal="left" vertical="top"/>
      <protection hidden="1"/>
    </xf>
    <xf numFmtId="0" fontId="9" fillId="0" borderId="41" xfId="0" applyFont="1" applyBorder="1" applyAlignment="1" applyProtection="1">
      <alignment horizontal="left" vertical="top"/>
      <protection hidden="1"/>
    </xf>
    <xf numFmtId="0" fontId="9" fillId="0" borderId="17" xfId="0" applyFont="1" applyBorder="1" applyAlignment="1" applyProtection="1">
      <alignment horizontal="left" vertical="top"/>
      <protection hidden="1"/>
    </xf>
    <xf numFmtId="9" fontId="20" fillId="41" borderId="39" xfId="12" applyFont="1" applyFill="1" applyBorder="1" applyAlignment="1" applyProtection="1">
      <alignment horizontal="center" vertical="center"/>
      <protection hidden="1"/>
    </xf>
    <xf numFmtId="0" fontId="21" fillId="0" borderId="23" xfId="0" applyFont="1" applyBorder="1" applyAlignment="1" applyProtection="1">
      <alignment horizontal="left" vertical="top"/>
      <protection hidden="1"/>
    </xf>
    <xf numFmtId="0" fontId="21" fillId="0" borderId="22" xfId="0" applyFont="1" applyBorder="1" applyAlignment="1" applyProtection="1">
      <alignment horizontal="left" vertical="top"/>
      <protection hidden="1"/>
    </xf>
    <xf numFmtId="0" fontId="21" fillId="0" borderId="24" xfId="0" applyFont="1" applyBorder="1" applyAlignment="1" applyProtection="1">
      <alignment horizontal="left" vertical="top"/>
      <protection hidden="1"/>
    </xf>
    <xf numFmtId="0" fontId="7" fillId="0" borderId="22" xfId="8" applyFont="1" applyBorder="1" applyAlignment="1" applyProtection="1">
      <alignment horizontal="left" vertical="center"/>
      <protection hidden="1"/>
    </xf>
    <xf numFmtId="0" fontId="7" fillId="0" borderId="17" xfId="8" applyFont="1" applyBorder="1" applyAlignment="1" applyProtection="1">
      <alignment horizontal="left" vertical="center"/>
      <protection hidden="1"/>
    </xf>
    <xf numFmtId="0" fontId="30" fillId="0" borderId="53" xfId="0" applyFont="1" applyBorder="1" applyAlignment="1" applyProtection="1">
      <alignment horizontal="center" vertical="center"/>
      <protection hidden="1"/>
    </xf>
    <xf numFmtId="0" fontId="30" fillId="0" borderId="41" xfId="0" applyFont="1" applyBorder="1" applyAlignment="1" applyProtection="1">
      <alignment horizontal="center" vertical="center"/>
      <protection hidden="1"/>
    </xf>
    <xf numFmtId="0" fontId="30" fillId="0" borderId="42" xfId="0" applyFont="1" applyBorder="1" applyAlignment="1" applyProtection="1">
      <alignment horizontal="center" vertical="center"/>
      <protection hidden="1"/>
    </xf>
    <xf numFmtId="0" fontId="30" fillId="0" borderId="13" xfId="0" applyFont="1" applyBorder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horizontal="center" vertical="center"/>
      <protection hidden="1"/>
    </xf>
    <xf numFmtId="0" fontId="30" fillId="0" borderId="34" xfId="0" applyFont="1" applyBorder="1" applyAlignment="1" applyProtection="1">
      <alignment horizontal="center" vertical="center"/>
      <protection hidden="1"/>
    </xf>
    <xf numFmtId="0" fontId="30" fillId="0" borderId="54" xfId="0" applyFont="1" applyBorder="1" applyAlignment="1" applyProtection="1">
      <alignment horizontal="center" vertical="center"/>
      <protection hidden="1"/>
    </xf>
    <xf numFmtId="0" fontId="30" fillId="0" borderId="38" xfId="0" applyFont="1" applyBorder="1" applyAlignment="1" applyProtection="1">
      <alignment horizontal="center" vertical="center"/>
      <protection hidden="1"/>
    </xf>
    <xf numFmtId="0" fontId="30" fillId="0" borderId="45" xfId="0" applyFont="1" applyBorder="1" applyAlignment="1" applyProtection="1">
      <alignment horizontal="center" vertical="center"/>
      <protection hidden="1"/>
    </xf>
    <xf numFmtId="2" fontId="29" fillId="0" borderId="43" xfId="0" applyNumberFormat="1" applyFont="1" applyBorder="1" applyAlignment="1" applyProtection="1">
      <alignment horizontal="center" vertical="center" wrapText="1"/>
      <protection hidden="1"/>
    </xf>
    <xf numFmtId="2" fontId="29" fillId="0" borderId="41" xfId="0" applyNumberFormat="1" applyFont="1" applyBorder="1" applyAlignment="1" applyProtection="1">
      <alignment horizontal="center" vertical="center" wrapText="1"/>
      <protection hidden="1"/>
    </xf>
    <xf numFmtId="2" fontId="29" fillId="0" borderId="40" xfId="0" applyNumberFormat="1" applyFont="1" applyBorder="1" applyAlignment="1" applyProtection="1">
      <alignment horizontal="center" vertical="center" wrapText="1"/>
      <protection hidden="1"/>
    </xf>
    <xf numFmtId="2" fontId="29" fillId="0" borderId="55" xfId="0" applyNumberFormat="1" applyFont="1" applyBorder="1" applyAlignment="1" applyProtection="1">
      <alignment horizontal="center" vertical="center" wrapText="1"/>
      <protection hidden="1"/>
    </xf>
    <xf numFmtId="2" fontId="29" fillId="0" borderId="0" xfId="0" applyNumberFormat="1" applyFont="1" applyAlignment="1" applyProtection="1">
      <alignment horizontal="center" vertical="center" wrapText="1"/>
      <protection hidden="1"/>
    </xf>
    <xf numFmtId="2" fontId="29" fillId="0" borderId="14" xfId="0" applyNumberFormat="1" applyFont="1" applyBorder="1" applyAlignment="1" applyProtection="1">
      <alignment horizontal="center" vertical="center" wrapText="1"/>
      <protection hidden="1"/>
    </xf>
    <xf numFmtId="2" fontId="29" fillId="0" borderId="37" xfId="0" applyNumberFormat="1" applyFont="1" applyBorder="1" applyAlignment="1" applyProtection="1">
      <alignment horizontal="center" vertical="center" wrapText="1"/>
      <protection hidden="1"/>
    </xf>
    <xf numFmtId="2" fontId="29" fillId="0" borderId="38" xfId="0" applyNumberFormat="1" applyFont="1" applyBorder="1" applyAlignment="1" applyProtection="1">
      <alignment horizontal="center" vertical="center" wrapText="1"/>
      <protection hidden="1"/>
    </xf>
    <xf numFmtId="2" fontId="29" fillId="0" borderId="36" xfId="0" applyNumberFormat="1" applyFont="1" applyBorder="1" applyAlignment="1" applyProtection="1">
      <alignment horizontal="center" vertical="center" wrapText="1"/>
      <protection hidden="1"/>
    </xf>
    <xf numFmtId="0" fontId="30" fillId="0" borderId="53" xfId="0" applyFont="1" applyBorder="1" applyAlignment="1" applyProtection="1">
      <alignment horizontal="center" vertical="center" wrapText="1"/>
      <protection hidden="1"/>
    </xf>
    <xf numFmtId="0" fontId="30" fillId="0" borderId="41" xfId="0" applyFont="1" applyBorder="1" applyAlignment="1" applyProtection="1">
      <alignment horizontal="center" vertical="center" wrapText="1"/>
      <protection hidden="1"/>
    </xf>
    <xf numFmtId="0" fontId="30" fillId="0" borderId="42" xfId="0" applyFont="1" applyBorder="1" applyAlignment="1" applyProtection="1">
      <alignment horizontal="center" vertical="center" wrapText="1"/>
      <protection hidden="1"/>
    </xf>
    <xf numFmtId="0" fontId="30" fillId="0" borderId="13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30" fillId="0" borderId="34" xfId="0" applyFont="1" applyBorder="1" applyAlignment="1" applyProtection="1">
      <alignment horizontal="center" vertical="center" wrapText="1"/>
      <protection hidden="1"/>
    </xf>
    <xf numFmtId="0" fontId="30" fillId="0" borderId="33" xfId="0" applyFont="1" applyBorder="1" applyAlignment="1" applyProtection="1">
      <alignment horizontal="center" vertical="center" wrapText="1"/>
      <protection hidden="1"/>
    </xf>
    <xf numFmtId="0" fontId="30" fillId="0" borderId="30" xfId="0" applyFont="1" applyBorder="1" applyAlignment="1" applyProtection="1">
      <alignment horizontal="center" vertical="center" wrapText="1"/>
      <protection hidden="1"/>
    </xf>
    <xf numFmtId="0" fontId="30" fillId="0" borderId="35" xfId="0" applyFont="1" applyBorder="1" applyAlignment="1" applyProtection="1">
      <alignment horizontal="center" vertical="center" wrapText="1"/>
      <protection hidden="1"/>
    </xf>
    <xf numFmtId="0" fontId="31" fillId="0" borderId="43" xfId="0" applyFont="1" applyBorder="1" applyAlignment="1" applyProtection="1">
      <alignment horizontal="center" vertical="center"/>
      <protection hidden="1"/>
    </xf>
    <xf numFmtId="0" fontId="31" fillId="0" borderId="41" xfId="0" applyFont="1" applyBorder="1" applyAlignment="1" applyProtection="1">
      <alignment horizontal="center" vertical="center"/>
      <protection hidden="1"/>
    </xf>
    <xf numFmtId="0" fontId="31" fillId="0" borderId="42" xfId="0" applyFont="1" applyBorder="1" applyAlignment="1" applyProtection="1">
      <alignment horizontal="center" vertical="center"/>
      <protection hidden="1"/>
    </xf>
    <xf numFmtId="0" fontId="31" fillId="0" borderId="55" xfId="0" applyFont="1" applyBorder="1" applyAlignment="1" applyProtection="1">
      <alignment horizontal="center" vertical="center"/>
      <protection hidden="1"/>
    </xf>
    <xf numFmtId="0" fontId="31" fillId="0" borderId="0" xfId="0" applyFont="1" applyAlignment="1" applyProtection="1">
      <alignment horizontal="center" vertical="center"/>
      <protection hidden="1"/>
    </xf>
    <xf numFmtId="0" fontId="31" fillId="0" borderId="34" xfId="0" applyFont="1" applyBorder="1" applyAlignment="1" applyProtection="1">
      <alignment horizontal="center" vertical="center"/>
      <protection hidden="1"/>
    </xf>
    <xf numFmtId="0" fontId="31" fillId="0" borderId="56" xfId="0" applyFont="1" applyBorder="1" applyAlignment="1" applyProtection="1">
      <alignment horizontal="center" vertical="center"/>
      <protection hidden="1"/>
    </xf>
    <xf numFmtId="0" fontId="31" fillId="0" borderId="30" xfId="0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43" xfId="0" applyFont="1" applyBorder="1" applyAlignment="1" applyProtection="1">
      <alignment horizontal="center" vertical="center" wrapText="1"/>
      <protection hidden="1"/>
    </xf>
    <xf numFmtId="0" fontId="30" fillId="0" borderId="40" xfId="0" applyFont="1" applyBorder="1" applyAlignment="1" applyProtection="1">
      <alignment horizontal="center" vertical="center" wrapText="1"/>
      <protection hidden="1"/>
    </xf>
    <xf numFmtId="0" fontId="30" fillId="0" borderId="55" xfId="0" applyFont="1" applyBorder="1" applyAlignment="1" applyProtection="1">
      <alignment horizontal="center" vertical="center" wrapText="1"/>
      <protection hidden="1"/>
    </xf>
    <xf numFmtId="0" fontId="30" fillId="0" borderId="14" xfId="0" applyFont="1" applyBorder="1" applyAlignment="1" applyProtection="1">
      <alignment horizontal="center" vertical="center" wrapText="1"/>
      <protection hidden="1"/>
    </xf>
    <xf numFmtId="0" fontId="30" fillId="0" borderId="56" xfId="0" applyFont="1" applyBorder="1" applyAlignment="1" applyProtection="1">
      <alignment horizontal="center" vertical="center" wrapText="1"/>
      <protection hidden="1"/>
    </xf>
    <xf numFmtId="0" fontId="30" fillId="0" borderId="32" xfId="0" applyFont="1" applyBorder="1" applyAlignment="1" applyProtection="1">
      <alignment horizontal="center" vertical="center" wrapText="1"/>
      <protection hidden="1"/>
    </xf>
    <xf numFmtId="0" fontId="7" fillId="0" borderId="22" xfId="8" applyFont="1" applyBorder="1" applyAlignment="1" applyProtection="1">
      <alignment horizontal="left"/>
      <protection hidden="1"/>
    </xf>
    <xf numFmtId="0" fontId="7" fillId="0" borderId="17" xfId="8" applyFont="1" applyBorder="1" applyAlignment="1" applyProtection="1">
      <alignment horizontal="left"/>
      <protection hidden="1"/>
    </xf>
    <xf numFmtId="3" fontId="7" fillId="0" borderId="22" xfId="8" applyNumberFormat="1" applyFont="1" applyBorder="1" applyAlignment="1" applyProtection="1">
      <alignment horizontal="center" vertical="center"/>
      <protection hidden="1"/>
    </xf>
    <xf numFmtId="0" fontId="9" fillId="0" borderId="43" xfId="0" applyFont="1" applyBorder="1" applyAlignment="1" applyProtection="1">
      <alignment horizontal="center" vertical="top"/>
      <protection hidden="1"/>
    </xf>
    <xf numFmtId="0" fontId="9" fillId="0" borderId="41" xfId="0" applyFont="1" applyBorder="1" applyAlignment="1" applyProtection="1">
      <alignment horizontal="center" vertical="top"/>
      <protection hidden="1"/>
    </xf>
    <xf numFmtId="0" fontId="9" fillId="0" borderId="42" xfId="0" applyFont="1" applyBorder="1" applyAlignment="1" applyProtection="1">
      <alignment horizontal="left" vertical="top"/>
      <protection hidden="1"/>
    </xf>
    <xf numFmtId="0" fontId="10" fillId="0" borderId="39" xfId="0" applyFont="1" applyBorder="1" applyAlignment="1" applyProtection="1">
      <alignment horizontal="center" vertical="center"/>
      <protection hidden="1"/>
    </xf>
    <xf numFmtId="0" fontId="11" fillId="0" borderId="23" xfId="0" applyFont="1" applyBorder="1" applyAlignment="1" applyProtection="1">
      <alignment horizontal="center" vertical="center"/>
      <protection hidden="1"/>
    </xf>
    <xf numFmtId="0" fontId="11" fillId="0" borderId="22" xfId="0" applyFont="1" applyBorder="1" applyAlignment="1" applyProtection="1">
      <alignment horizontal="center" vertical="center"/>
      <protection hidden="1"/>
    </xf>
    <xf numFmtId="0" fontId="7" fillId="0" borderId="24" xfId="8" applyFont="1" applyBorder="1" applyAlignment="1" applyProtection="1">
      <alignment horizontal="left"/>
      <protection hidden="1"/>
    </xf>
    <xf numFmtId="0" fontId="9" fillId="0" borderId="55" xfId="0" applyFont="1" applyBorder="1" applyAlignment="1" applyProtection="1">
      <alignment horizontal="center" vertical="top"/>
      <protection hidden="1"/>
    </xf>
    <xf numFmtId="0" fontId="9" fillId="0" borderId="0" xfId="0" applyFont="1" applyAlignment="1" applyProtection="1">
      <alignment horizontal="center" vertical="top"/>
      <protection hidden="1"/>
    </xf>
    <xf numFmtId="0" fontId="9" fillId="0" borderId="34" xfId="0" applyFont="1" applyBorder="1" applyAlignment="1" applyProtection="1">
      <alignment horizontal="center" vertical="top"/>
      <protection hidden="1"/>
    </xf>
    <xf numFmtId="0" fontId="9" fillId="0" borderId="37" xfId="0" applyFont="1" applyBorder="1" applyAlignment="1" applyProtection="1">
      <alignment horizontal="center" vertical="top"/>
      <protection hidden="1"/>
    </xf>
    <xf numFmtId="0" fontId="9" fillId="0" borderId="38" xfId="0" applyFont="1" applyBorder="1" applyAlignment="1" applyProtection="1">
      <alignment horizontal="center" vertical="top"/>
      <protection hidden="1"/>
    </xf>
    <xf numFmtId="0" fontId="9" fillId="0" borderId="45" xfId="0" applyFont="1" applyBorder="1" applyAlignment="1" applyProtection="1">
      <alignment horizontal="center" vertical="top"/>
      <protection hidden="1"/>
    </xf>
    <xf numFmtId="0" fontId="21" fillId="0" borderId="39" xfId="0" applyFont="1" applyBorder="1" applyAlignment="1" applyProtection="1">
      <alignment horizontal="center" vertical="center"/>
      <protection hidden="1"/>
    </xf>
    <xf numFmtId="3" fontId="27" fillId="42" borderId="23" xfId="0" applyNumberFormat="1" applyFont="1" applyFill="1" applyBorder="1" applyAlignment="1" applyProtection="1">
      <alignment horizontal="center" vertical="center"/>
      <protection hidden="1"/>
    </xf>
    <xf numFmtId="3" fontId="27" fillId="42" borderId="22" xfId="0" applyNumberFormat="1" applyFont="1" applyFill="1" applyBorder="1" applyAlignment="1" applyProtection="1">
      <alignment horizontal="center" vertical="center"/>
      <protection hidden="1"/>
    </xf>
    <xf numFmtId="3" fontId="27" fillId="42" borderId="17" xfId="0" applyNumberFormat="1" applyFont="1" applyFill="1" applyBorder="1" applyAlignment="1" applyProtection="1">
      <alignment horizontal="center" vertical="center"/>
      <protection hidden="1"/>
    </xf>
    <xf numFmtId="0" fontId="21" fillId="0" borderId="25" xfId="0" applyFont="1" applyBorder="1" applyAlignment="1" applyProtection="1">
      <alignment horizontal="center" vertical="center" textRotation="90" wrapText="1"/>
      <protection hidden="1"/>
    </xf>
    <xf numFmtId="0" fontId="21" fillId="0" borderId="44" xfId="0" applyFont="1" applyBorder="1" applyAlignment="1" applyProtection="1">
      <alignment horizontal="center" vertical="center" textRotation="90" wrapText="1"/>
      <protection hidden="1"/>
    </xf>
    <xf numFmtId="0" fontId="21" fillId="0" borderId="33" xfId="0" applyFont="1" applyBorder="1" applyAlignment="1" applyProtection="1">
      <alignment horizontal="center" vertical="center" textRotation="90" wrapText="1"/>
      <protection hidden="1"/>
    </xf>
    <xf numFmtId="0" fontId="21" fillId="0" borderId="35" xfId="0" applyFont="1" applyBorder="1" applyAlignment="1" applyProtection="1">
      <alignment horizontal="center" vertical="center" textRotation="90" wrapText="1"/>
      <protection hidden="1"/>
    </xf>
    <xf numFmtId="0" fontId="18" fillId="0" borderId="51" xfId="0" applyFont="1" applyBorder="1" applyAlignment="1" applyProtection="1">
      <alignment horizontal="center" vertical="center"/>
      <protection hidden="1"/>
    </xf>
    <xf numFmtId="0" fontId="18" fillId="0" borderId="52" xfId="0" applyFont="1" applyBorder="1" applyAlignment="1" applyProtection="1">
      <alignment horizontal="center" vertical="center"/>
      <protection hidden="1"/>
    </xf>
    <xf numFmtId="0" fontId="18" fillId="0" borderId="47" xfId="0" applyFont="1" applyBorder="1" applyAlignment="1" applyProtection="1">
      <alignment horizontal="center" vertical="center"/>
      <protection hidden="1"/>
    </xf>
    <xf numFmtId="0" fontId="18" fillId="0" borderId="16" xfId="0" applyFont="1" applyBorder="1" applyAlignment="1" applyProtection="1">
      <alignment horizontal="center" vertical="center"/>
      <protection hidden="1"/>
    </xf>
    <xf numFmtId="0" fontId="9" fillId="0" borderId="40" xfId="0" applyFont="1" applyBorder="1" applyAlignment="1" applyProtection="1">
      <alignment horizontal="center" vertical="top"/>
      <protection hidden="1"/>
    </xf>
    <xf numFmtId="0" fontId="9" fillId="0" borderId="36" xfId="0" applyFont="1" applyBorder="1" applyAlignment="1" applyProtection="1">
      <alignment horizontal="center" vertical="top"/>
      <protection hidden="1"/>
    </xf>
    <xf numFmtId="0" fontId="21" fillId="0" borderId="39" xfId="0" applyFont="1" applyBorder="1" applyAlignment="1">
      <alignment horizontal="center"/>
    </xf>
    <xf numFmtId="0" fontId="9" fillId="0" borderId="39" xfId="0" applyFont="1" applyBorder="1" applyAlignment="1">
      <alignment horizontal="left"/>
    </xf>
    <xf numFmtId="0" fontId="9" fillId="0" borderId="48" xfId="0" applyFont="1" applyBorder="1" applyAlignment="1" applyProtection="1">
      <alignment horizontal="center" vertical="center"/>
      <protection hidden="1"/>
    </xf>
    <xf numFmtId="0" fontId="9" fillId="0" borderId="49" xfId="0" applyFont="1" applyBorder="1" applyAlignment="1" applyProtection="1">
      <alignment horizontal="center" vertical="center"/>
      <protection hidden="1"/>
    </xf>
    <xf numFmtId="0" fontId="9" fillId="0" borderId="50" xfId="0" applyFont="1" applyBorder="1" applyAlignment="1" applyProtection="1">
      <alignment horizontal="center" vertical="center"/>
      <protection hidden="1"/>
    </xf>
    <xf numFmtId="0" fontId="27" fillId="0" borderId="48" xfId="0" applyFont="1" applyBorder="1" applyAlignment="1" applyProtection="1">
      <alignment horizontal="center" vertical="center"/>
      <protection hidden="1"/>
    </xf>
    <xf numFmtId="0" fontId="27" fillId="0" borderId="49" xfId="0" applyFont="1" applyBorder="1" applyAlignment="1" applyProtection="1">
      <alignment horizontal="center" vertical="center"/>
      <protection hidden="1"/>
    </xf>
    <xf numFmtId="0" fontId="27" fillId="0" borderId="50" xfId="0" applyFont="1" applyBorder="1" applyAlignment="1" applyProtection="1">
      <alignment horizontal="center" vertical="center"/>
      <protection hidden="1"/>
    </xf>
    <xf numFmtId="3" fontId="28" fillId="42" borderId="48" xfId="0" applyNumberFormat="1" applyFont="1" applyFill="1" applyBorder="1" applyAlignment="1" applyProtection="1">
      <alignment horizontal="center" vertical="center"/>
      <protection hidden="1"/>
    </xf>
    <xf numFmtId="3" fontId="28" fillId="42" borderId="49" xfId="0" applyNumberFormat="1" applyFont="1" applyFill="1" applyBorder="1" applyAlignment="1" applyProtection="1">
      <alignment horizontal="center" vertical="center"/>
      <protection hidden="1"/>
    </xf>
    <xf numFmtId="3" fontId="28" fillId="42" borderId="50" xfId="0" applyNumberFormat="1" applyFont="1" applyFill="1" applyBorder="1" applyAlignment="1" applyProtection="1">
      <alignment horizontal="center" vertical="center"/>
      <protection hidden="1"/>
    </xf>
    <xf numFmtId="3" fontId="27" fillId="42" borderId="48" xfId="7" applyNumberFormat="1" applyFont="1" applyFill="1" applyBorder="1" applyAlignment="1" applyProtection="1">
      <alignment horizontal="center" vertical="center"/>
      <protection hidden="1"/>
    </xf>
    <xf numFmtId="3" fontId="27" fillId="42" borderId="49" xfId="7" applyNumberFormat="1" applyFont="1" applyFill="1" applyBorder="1" applyAlignment="1" applyProtection="1">
      <alignment horizontal="center" vertical="center"/>
      <protection hidden="1"/>
    </xf>
    <xf numFmtId="3" fontId="27" fillId="42" borderId="21" xfId="7" applyNumberFormat="1" applyFont="1" applyFill="1" applyBorder="1" applyAlignment="1" applyProtection="1">
      <alignment horizontal="center" vertical="center"/>
      <protection hidden="1"/>
    </xf>
    <xf numFmtId="0" fontId="34" fillId="40" borderId="0" xfId="0" applyFont="1" applyFill="1" applyAlignment="1">
      <alignment horizontal="center"/>
    </xf>
    <xf numFmtId="0" fontId="56" fillId="39" borderId="0" xfId="0" applyFont="1" applyFill="1" applyAlignment="1" applyProtection="1">
      <alignment horizontal="center"/>
      <protection hidden="1"/>
    </xf>
    <xf numFmtId="0" fontId="38" fillId="40" borderId="0" xfId="0" applyFont="1" applyFill="1" applyAlignment="1" applyProtection="1">
      <alignment horizontal="center" vertical="center" wrapText="1"/>
      <protection hidden="1"/>
    </xf>
  </cellXfs>
  <cellStyles count="505">
    <cellStyle name="20% - Énfasis1" xfId="55" xr:uid="{00000000-0005-0000-0000-000037000000}"/>
    <cellStyle name="20% - Énfasis2" xfId="59" xr:uid="{00000000-0005-0000-0000-00003B000000}"/>
    <cellStyle name="20% - Énfasis3" xfId="63" xr:uid="{00000000-0005-0000-0000-00003F000000}"/>
    <cellStyle name="20% - Énfasis4" xfId="67" xr:uid="{00000000-0005-0000-0000-000043000000}"/>
    <cellStyle name="20% - Énfasis5" xfId="71" xr:uid="{00000000-0005-0000-0000-000047000000}"/>
    <cellStyle name="20% - Énfasis6" xfId="75" xr:uid="{00000000-0005-0000-0000-00004B000000}"/>
    <cellStyle name="40% - Énfasis1" xfId="56" xr:uid="{00000000-0005-0000-0000-000038000000}"/>
    <cellStyle name="40% - Énfasis2" xfId="60" xr:uid="{00000000-0005-0000-0000-00003C000000}"/>
    <cellStyle name="40% - Énfasis3" xfId="64" xr:uid="{00000000-0005-0000-0000-000040000000}"/>
    <cellStyle name="40% - Énfasis4" xfId="68" xr:uid="{00000000-0005-0000-0000-000044000000}"/>
    <cellStyle name="40% - Énfasis5" xfId="72" xr:uid="{00000000-0005-0000-0000-000048000000}"/>
    <cellStyle name="40% - Énfasis6" xfId="76" xr:uid="{00000000-0005-0000-0000-00004C000000}"/>
    <cellStyle name="60% - Énfasis1" xfId="57" xr:uid="{00000000-0005-0000-0000-000039000000}"/>
    <cellStyle name="60% - Énfasis2" xfId="61" xr:uid="{00000000-0005-0000-0000-00003D000000}"/>
    <cellStyle name="60% - Énfasis3" xfId="65" xr:uid="{00000000-0005-0000-0000-000041000000}"/>
    <cellStyle name="60% - Énfasis4" xfId="69" xr:uid="{00000000-0005-0000-0000-000045000000}"/>
    <cellStyle name="60% - Énfasis5" xfId="73" xr:uid="{00000000-0005-0000-0000-000049000000}"/>
    <cellStyle name="60% - Énfasis6" xfId="77" xr:uid="{00000000-0005-0000-0000-00004D000000}"/>
    <cellStyle name="Bueno" xfId="42" xr:uid="{00000000-0005-0000-0000-00002A000000}"/>
    <cellStyle name="Cálculo" xfId="47" xr:uid="{00000000-0005-0000-0000-00002F000000}"/>
    <cellStyle name="Celda de comprobación" xfId="49" xr:uid="{00000000-0005-0000-0000-000031000000}"/>
    <cellStyle name="Celda vinculada" xfId="48" xr:uid="{00000000-0005-0000-0000-000030000000}"/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Encabezado 1" xfId="38" xr:uid="{00000000-0005-0000-0000-000026000000}"/>
    <cellStyle name="Encabezado 4" xfId="41" xr:uid="{00000000-0005-0000-0000-000029000000}"/>
    <cellStyle name="Énfasis1" xfId="54" xr:uid="{00000000-0005-0000-0000-000036000000}"/>
    <cellStyle name="Énfasis2" xfId="58" xr:uid="{00000000-0005-0000-0000-00003A000000}"/>
    <cellStyle name="Énfasis3" xfId="62" xr:uid="{00000000-0005-0000-0000-00003E000000}"/>
    <cellStyle name="Énfasis4" xfId="66" xr:uid="{00000000-0005-0000-0000-000042000000}"/>
    <cellStyle name="Énfasis5" xfId="70" xr:uid="{00000000-0005-0000-0000-000046000000}"/>
    <cellStyle name="Énfasis6" xfId="74" xr:uid="{00000000-0005-0000-0000-00004A000000}"/>
    <cellStyle name="Entrada" xfId="45" xr:uid="{00000000-0005-0000-0000-00002D000000}"/>
    <cellStyle name="Hipervínculo" xfId="13" xr:uid="{00000000-0005-0000-0000-00000D000000}"/>
    <cellStyle name="Hyperlink 2" xfId="6" xr:uid="{00000000-0005-0000-0000-000006000000}"/>
    <cellStyle name="Incorrecto" xfId="43" xr:uid="{00000000-0005-0000-0000-00002B000000}"/>
    <cellStyle name="Millares" xfId="14" xr:uid="{00000000-0005-0000-0000-00000E000000}"/>
    <cellStyle name="Millares [0] 2" xfId="22" xr:uid="{00000000-0005-0000-0000-000016000000}"/>
    <cellStyle name="Millares [0] 2 2" xfId="34" xr:uid="{00000000-0005-0000-0000-000022000000}"/>
    <cellStyle name="Millares [0] 2 2 2" xfId="187" xr:uid="{00000000-0005-0000-0000-0000BB000000}"/>
    <cellStyle name="Millares [0] 2 2 2 2" xfId="319" xr:uid="{00000000-0005-0000-0000-00003F010000}"/>
    <cellStyle name="Millares [0] 2 2 2 2 2" xfId="462" xr:uid="{00000000-0005-0000-0000-0000CE010000}"/>
    <cellStyle name="Millares [0] 2 2 3" xfId="254" xr:uid="{00000000-0005-0000-0000-0000FE000000}"/>
    <cellStyle name="Millares [0] 2 2 3 2" xfId="397" xr:uid="{00000000-0005-0000-0000-00008D010000}"/>
    <cellStyle name="Millares [0] 2 3" xfId="31" xr:uid="{00000000-0005-0000-0000-00001F000000}"/>
    <cellStyle name="Millares [0] 2 3 2" xfId="194" xr:uid="{00000000-0005-0000-0000-0000C2000000}"/>
    <cellStyle name="Millares [0] 2 3 2 2" xfId="326" xr:uid="{00000000-0005-0000-0000-000046010000}"/>
    <cellStyle name="Millares [0] 2 3 2 2 2" xfId="469" xr:uid="{00000000-0005-0000-0000-0000D5010000}"/>
    <cellStyle name="Millares [0] 2 3 3" xfId="261" xr:uid="{00000000-0005-0000-0000-000005010000}"/>
    <cellStyle name="Millares [0] 2 3 3 2" xfId="404" xr:uid="{00000000-0005-0000-0000-000094010000}"/>
    <cellStyle name="Millares [0] 2 3 4" xfId="125" xr:uid="{00000000-0005-0000-0000-00007D000000}"/>
    <cellStyle name="Millares [0] 2 4" xfId="114" xr:uid="{00000000-0005-0000-0000-000072000000}"/>
    <cellStyle name="Millares [0] 2 4 2" xfId="186" xr:uid="{00000000-0005-0000-0000-0000BA000000}"/>
    <cellStyle name="Millares [0] 2 4 2 2" xfId="318" xr:uid="{00000000-0005-0000-0000-00003E010000}"/>
    <cellStyle name="Millares [0] 2 4 2 2 2" xfId="461" xr:uid="{00000000-0005-0000-0000-0000CD010000}"/>
    <cellStyle name="Millares [0] 2 4 3" xfId="253" xr:uid="{00000000-0005-0000-0000-0000FD000000}"/>
    <cellStyle name="Millares [0] 2 4 3 2" xfId="396" xr:uid="{00000000-0005-0000-0000-00008C010000}"/>
    <cellStyle name="Millares [0] 2 5" xfId="107" xr:uid="{00000000-0005-0000-0000-00006B000000}"/>
    <cellStyle name="Millares [0] 2 5 2" xfId="181" xr:uid="{00000000-0005-0000-0000-0000B5000000}"/>
    <cellStyle name="Millares [0] 2 5 2 2" xfId="313" xr:uid="{00000000-0005-0000-0000-000039010000}"/>
    <cellStyle name="Millares [0] 2 5 2 2 2" xfId="456" xr:uid="{00000000-0005-0000-0000-0000C8010000}"/>
    <cellStyle name="Millares [0] 2 5 3" xfId="248" xr:uid="{00000000-0005-0000-0000-0000F8000000}"/>
    <cellStyle name="Millares [0] 2 5 3 2" xfId="391" xr:uid="{00000000-0005-0000-0000-000087010000}"/>
    <cellStyle name="Millares [0] 2 6" xfId="175" xr:uid="{00000000-0005-0000-0000-0000AF000000}"/>
    <cellStyle name="Millares [0] 2 6 2" xfId="307" xr:uid="{00000000-0005-0000-0000-000033010000}"/>
    <cellStyle name="Millares [0] 2 6 2 2" xfId="450" xr:uid="{00000000-0005-0000-0000-0000C2010000}"/>
    <cellStyle name="Millares [0] 2 7" xfId="241" xr:uid="{00000000-0005-0000-0000-0000F1000000}"/>
    <cellStyle name="Millares [0] 2 7 2" xfId="384" xr:uid="{00000000-0005-0000-0000-000080010000}"/>
    <cellStyle name="Millares [0] 3" xfId="18" xr:uid="{00000000-0005-0000-0000-000012000000}"/>
    <cellStyle name="Millares [0] 3 2" xfId="122" xr:uid="{00000000-0005-0000-0000-00007A000000}"/>
    <cellStyle name="Millares [0] 3 2 2" xfId="191" xr:uid="{00000000-0005-0000-0000-0000BF000000}"/>
    <cellStyle name="Millares [0] 3 2 2 2" xfId="323" xr:uid="{00000000-0005-0000-0000-000043010000}"/>
    <cellStyle name="Millares [0] 3 2 2 2 2" xfId="466" xr:uid="{00000000-0005-0000-0000-0000D2010000}"/>
    <cellStyle name="Millares [0] 3 2 3" xfId="258" xr:uid="{00000000-0005-0000-0000-000002010000}"/>
    <cellStyle name="Millares [0] 3 2 3 2" xfId="401" xr:uid="{00000000-0005-0000-0000-000091010000}"/>
    <cellStyle name="Millares [0] 3 3" xfId="179" xr:uid="{00000000-0005-0000-0000-0000B3000000}"/>
    <cellStyle name="Millares [0] 3 3 2" xfId="311" xr:uid="{00000000-0005-0000-0000-000037010000}"/>
    <cellStyle name="Millares [0] 3 3 2 2" xfId="454" xr:uid="{00000000-0005-0000-0000-0000C6010000}"/>
    <cellStyle name="Millares [0] 3 4" xfId="245" xr:uid="{00000000-0005-0000-0000-0000F5000000}"/>
    <cellStyle name="Millares [0] 3 4 2" xfId="388" xr:uid="{00000000-0005-0000-0000-000084010000}"/>
    <cellStyle name="Millares [0] 3 5" xfId="104" xr:uid="{00000000-0005-0000-0000-000068000000}"/>
    <cellStyle name="Millares [0] 4" xfId="112" xr:uid="{00000000-0005-0000-0000-000070000000}"/>
    <cellStyle name="Millares [0] 4 2" xfId="184" xr:uid="{00000000-0005-0000-0000-0000B8000000}"/>
    <cellStyle name="Millares [0] 4 2 2" xfId="316" xr:uid="{00000000-0005-0000-0000-00003C010000}"/>
    <cellStyle name="Millares [0] 4 2 2 2" xfId="459" xr:uid="{00000000-0005-0000-0000-0000CB010000}"/>
    <cellStyle name="Millares [0] 4 3" xfId="251" xr:uid="{00000000-0005-0000-0000-0000FB000000}"/>
    <cellStyle name="Millares [0] 4 3 2" xfId="394" xr:uid="{00000000-0005-0000-0000-00008A010000}"/>
    <cellStyle name="Millares [0] 5" xfId="173" xr:uid="{00000000-0005-0000-0000-0000AD000000}"/>
    <cellStyle name="Millares [0] 5 2" xfId="305" xr:uid="{00000000-0005-0000-0000-000031010000}"/>
    <cellStyle name="Millares [0] 5 2 2" xfId="448" xr:uid="{00000000-0005-0000-0000-0000C0010000}"/>
    <cellStyle name="Millares [0] 6" xfId="239" xr:uid="{00000000-0005-0000-0000-0000EF000000}"/>
    <cellStyle name="Millares [0] 6 2" xfId="382" xr:uid="{00000000-0005-0000-0000-00007E010000}"/>
    <cellStyle name="Millares 10" xfId="97" xr:uid="{00000000-0005-0000-0000-000061000000}"/>
    <cellStyle name="Millares 10 2" xfId="148" xr:uid="{00000000-0005-0000-0000-000094000000}"/>
    <cellStyle name="Millares 10 2 2" xfId="214" xr:uid="{00000000-0005-0000-0000-0000D6000000}"/>
    <cellStyle name="Millares 10 2 2 2" xfId="346" xr:uid="{00000000-0005-0000-0000-00005A010000}"/>
    <cellStyle name="Millares 10 2 2 2 2" xfId="489" xr:uid="{00000000-0005-0000-0000-0000E9010000}"/>
    <cellStyle name="Millares 10 2 3" xfId="281" xr:uid="{00000000-0005-0000-0000-000019010000}"/>
    <cellStyle name="Millares 10 2 3 2" xfId="424" xr:uid="{00000000-0005-0000-0000-0000A8010000}"/>
    <cellStyle name="Millares 10 3" xfId="172" xr:uid="{00000000-0005-0000-0000-0000AC000000}"/>
    <cellStyle name="Millares 10 3 2" xfId="304" xr:uid="{00000000-0005-0000-0000-000030010000}"/>
    <cellStyle name="Millares 10 3 2 2" xfId="447" xr:uid="{00000000-0005-0000-0000-0000BF010000}"/>
    <cellStyle name="Millares 10 4" xfId="238" xr:uid="{00000000-0005-0000-0000-0000EE000000}"/>
    <cellStyle name="Millares 10 4 2" xfId="381" xr:uid="{00000000-0005-0000-0000-00007D010000}"/>
    <cellStyle name="Millares 11" xfId="349" xr:uid="{00000000-0005-0000-0000-00005D010000}"/>
    <cellStyle name="Millares 11 2" xfId="492" xr:uid="{00000000-0005-0000-0000-0000EC010000}"/>
    <cellStyle name="Millares 12" xfId="350" xr:uid="{00000000-0005-0000-0000-00005E010000}"/>
    <cellStyle name="Millares 12 2" xfId="493" xr:uid="{00000000-0005-0000-0000-0000ED010000}"/>
    <cellStyle name="Millares 13" xfId="82" xr:uid="{00000000-0005-0000-0000-000052000000}"/>
    <cellStyle name="Millares 14" xfId="110" xr:uid="{00000000-0005-0000-0000-00006E000000}"/>
    <cellStyle name="Millares 15" xfId="85" xr:uid="{00000000-0005-0000-0000-000055000000}"/>
    <cellStyle name="Millares 16" xfId="501" xr:uid="{00000000-0005-0000-0000-0000F5010000}"/>
    <cellStyle name="Millares 17" xfId="503" xr:uid="{00000000-0005-0000-0000-0000F7010000}"/>
    <cellStyle name="Millares 2" xfId="25" xr:uid="{00000000-0005-0000-0000-000019000000}"/>
    <cellStyle name="Millares 2 2" xfId="7" xr:uid="{00000000-0005-0000-0000-000007000000}"/>
    <cellStyle name="Millares 2 2 2" xfId="32" xr:uid="{00000000-0005-0000-0000-000020000000}"/>
    <cellStyle name="Millares 2 2 2 2" xfId="118" xr:uid="{00000000-0005-0000-0000-000076000000}"/>
    <cellStyle name="Millares 2 2 2 2 2" xfId="189" xr:uid="{00000000-0005-0000-0000-0000BD000000}"/>
    <cellStyle name="Millares 2 2 2 2 2 2" xfId="321" xr:uid="{00000000-0005-0000-0000-000041010000}"/>
    <cellStyle name="Millares 2 2 2 2 2 2 2" xfId="464" xr:uid="{00000000-0005-0000-0000-0000D0010000}"/>
    <cellStyle name="Millares 2 2 2 2 3" xfId="256" xr:uid="{00000000-0005-0000-0000-000000010000}"/>
    <cellStyle name="Millares 2 2 2 2 3 2" xfId="399" xr:uid="{00000000-0005-0000-0000-00008F010000}"/>
    <cellStyle name="Millares 2 2 2 3" xfId="170" xr:uid="{00000000-0005-0000-0000-0000AA000000}"/>
    <cellStyle name="Millares 2 2 2 3 2" xfId="302" xr:uid="{00000000-0005-0000-0000-00002E010000}"/>
    <cellStyle name="Millares 2 2 2 3 2 2" xfId="445" xr:uid="{00000000-0005-0000-0000-0000BD010000}"/>
    <cellStyle name="Millares 2 2 2 4" xfId="236" xr:uid="{00000000-0005-0000-0000-0000EC000000}"/>
    <cellStyle name="Millares 2 2 2 4 2" xfId="379" xr:uid="{00000000-0005-0000-0000-00007B010000}"/>
    <cellStyle name="Millares 2 2 3" xfId="99" xr:uid="{00000000-0005-0000-0000-000063000000}"/>
    <cellStyle name="Millares 2 2 3 2" xfId="176" xr:uid="{00000000-0005-0000-0000-0000B0000000}"/>
    <cellStyle name="Millares 2 2 3 2 2" xfId="308" xr:uid="{00000000-0005-0000-0000-000034010000}"/>
    <cellStyle name="Millares 2 2 3 2 2 2" xfId="451" xr:uid="{00000000-0005-0000-0000-0000C3010000}"/>
    <cellStyle name="Millares 2 2 3 3" xfId="242" xr:uid="{00000000-0005-0000-0000-0000F2000000}"/>
    <cellStyle name="Millares 2 2 3 3 2" xfId="385" xr:uid="{00000000-0005-0000-0000-000081010000}"/>
    <cellStyle name="Millares 2 2 4" xfId="159" xr:uid="{00000000-0005-0000-0000-00009F000000}"/>
    <cellStyle name="Millares 2 2 4 2" xfId="291" xr:uid="{00000000-0005-0000-0000-000023010000}"/>
    <cellStyle name="Millares 2 2 4 2 2" xfId="434" xr:uid="{00000000-0005-0000-0000-0000B2010000}"/>
    <cellStyle name="Millares 2 2 5" xfId="225" xr:uid="{00000000-0005-0000-0000-0000E1000000}"/>
    <cellStyle name="Millares 2 2 5 2" xfId="368" xr:uid="{00000000-0005-0000-0000-000070010000}"/>
    <cellStyle name="Millares 2 3" xfId="35" xr:uid="{00000000-0005-0000-0000-000023000000}"/>
    <cellStyle name="Millares 2 3 2" xfId="142" xr:uid="{00000000-0005-0000-0000-00008E000000}"/>
    <cellStyle name="Millares 2 3 2 2" xfId="208" xr:uid="{00000000-0005-0000-0000-0000D0000000}"/>
    <cellStyle name="Millares 2 3 2 2 2" xfId="340" xr:uid="{00000000-0005-0000-0000-000054010000}"/>
    <cellStyle name="Millares 2 3 2 2 2 2" xfId="483" xr:uid="{00000000-0005-0000-0000-0000E3010000}"/>
    <cellStyle name="Millares 2 3 2 3" xfId="275" xr:uid="{00000000-0005-0000-0000-000013010000}"/>
    <cellStyle name="Millares 2 3 2 3 2" xfId="418" xr:uid="{00000000-0005-0000-0000-0000A2010000}"/>
    <cellStyle name="Millares 2 3 3" xfId="127" xr:uid="{00000000-0005-0000-0000-00007F000000}"/>
    <cellStyle name="Millares 2 3 3 2" xfId="354" xr:uid="{00000000-0005-0000-0000-000062010000}"/>
    <cellStyle name="Millares 2 3 3 2 2" xfId="497" xr:uid="{00000000-0005-0000-0000-0000F1010000}"/>
    <cellStyle name="Millares 2 3 4" xfId="165" xr:uid="{00000000-0005-0000-0000-0000A5000000}"/>
    <cellStyle name="Millares 2 3 4 2" xfId="297" xr:uid="{00000000-0005-0000-0000-000029010000}"/>
    <cellStyle name="Millares 2 3 4 2 2" xfId="440" xr:uid="{00000000-0005-0000-0000-0000B8010000}"/>
    <cellStyle name="Millares 2 3 5" xfId="231" xr:uid="{00000000-0005-0000-0000-0000E7000000}"/>
    <cellStyle name="Millares 2 3 5 2" xfId="374" xr:uid="{00000000-0005-0000-0000-000076010000}"/>
    <cellStyle name="Millares 2 4" xfId="116" xr:uid="{00000000-0005-0000-0000-000074000000}"/>
    <cellStyle name="Millares 2 4 2" xfId="188" xr:uid="{00000000-0005-0000-0000-0000BC000000}"/>
    <cellStyle name="Millares 2 4 2 2" xfId="320" xr:uid="{00000000-0005-0000-0000-000040010000}"/>
    <cellStyle name="Millares 2 4 2 2 2" xfId="463" xr:uid="{00000000-0005-0000-0000-0000CF010000}"/>
    <cellStyle name="Millares 2 4 3" xfId="255" xr:uid="{00000000-0005-0000-0000-0000FF000000}"/>
    <cellStyle name="Millares 2 4 3 2" xfId="398" xr:uid="{00000000-0005-0000-0000-00008E010000}"/>
    <cellStyle name="Millares 2 4 4" xfId="357" xr:uid="{00000000-0005-0000-0000-000065010000}"/>
    <cellStyle name="Millares 2 4 4 2" xfId="500" xr:uid="{00000000-0005-0000-0000-0000F4010000}"/>
    <cellStyle name="Millares 2 5" xfId="109" xr:uid="{00000000-0005-0000-0000-00006D000000}"/>
    <cellStyle name="Millares 2 5 2" xfId="351" xr:uid="{00000000-0005-0000-0000-00005F010000}"/>
    <cellStyle name="Millares 2 5 2 2" xfId="494" xr:uid="{00000000-0005-0000-0000-0000EE010000}"/>
    <cellStyle name="Millares 2 6" xfId="154" xr:uid="{00000000-0005-0000-0000-00009A000000}"/>
    <cellStyle name="Millares 2 6 2" xfId="286" xr:uid="{00000000-0005-0000-0000-00001E010000}"/>
    <cellStyle name="Millares 2 6 2 2" xfId="429" xr:uid="{00000000-0005-0000-0000-0000AD010000}"/>
    <cellStyle name="Millares 2 7" xfId="220" xr:uid="{00000000-0005-0000-0000-0000DC000000}"/>
    <cellStyle name="Millares 2 7 2" xfId="363" xr:uid="{00000000-0005-0000-0000-00006B010000}"/>
    <cellStyle name="Millares 3" xfId="16" xr:uid="{00000000-0005-0000-0000-000010000000}"/>
    <cellStyle name="Millares 3 2" xfId="86" xr:uid="{00000000-0005-0000-0000-000056000000}"/>
    <cellStyle name="Millares 3 2 2" xfId="93" xr:uid="{00000000-0005-0000-0000-00005D000000}"/>
    <cellStyle name="Millares 3 2 2 2" xfId="144" xr:uid="{00000000-0005-0000-0000-000090000000}"/>
    <cellStyle name="Millares 3 2 2 2 2" xfId="210" xr:uid="{00000000-0005-0000-0000-0000D2000000}"/>
    <cellStyle name="Millares 3 2 2 2 2 2" xfId="342" xr:uid="{00000000-0005-0000-0000-000056010000}"/>
    <cellStyle name="Millares 3 2 2 2 2 2 2" xfId="485" xr:uid="{00000000-0005-0000-0000-0000E5010000}"/>
    <cellStyle name="Millares 3 2 2 2 3" xfId="277" xr:uid="{00000000-0005-0000-0000-000015010000}"/>
    <cellStyle name="Millares 3 2 2 2 3 2" xfId="420" xr:uid="{00000000-0005-0000-0000-0000A4010000}"/>
    <cellStyle name="Millares 3 2 2 3" xfId="167" xr:uid="{00000000-0005-0000-0000-0000A7000000}"/>
    <cellStyle name="Millares 3 2 2 3 2" xfId="299" xr:uid="{00000000-0005-0000-0000-00002B010000}"/>
    <cellStyle name="Millares 3 2 2 3 2 2" xfId="442" xr:uid="{00000000-0005-0000-0000-0000BA010000}"/>
    <cellStyle name="Millares 3 2 2 4" xfId="233" xr:uid="{00000000-0005-0000-0000-0000E9000000}"/>
    <cellStyle name="Millares 3 2 2 4 2" xfId="376" xr:uid="{00000000-0005-0000-0000-000078010000}"/>
    <cellStyle name="Millares 3 2 3" xfId="135" xr:uid="{00000000-0005-0000-0000-000087000000}"/>
    <cellStyle name="Millares 3 2 3 2" xfId="201" xr:uid="{00000000-0005-0000-0000-0000C9000000}"/>
    <cellStyle name="Millares 3 2 3 2 2" xfId="333" xr:uid="{00000000-0005-0000-0000-00004D010000}"/>
    <cellStyle name="Millares 3 2 3 2 2 2" xfId="476" xr:uid="{00000000-0005-0000-0000-0000DC010000}"/>
    <cellStyle name="Millares 3 2 3 3" xfId="268" xr:uid="{00000000-0005-0000-0000-00000C010000}"/>
    <cellStyle name="Millares 3 2 3 3 2" xfId="411" xr:uid="{00000000-0005-0000-0000-00009B010000}"/>
    <cellStyle name="Millares 3 2 4" xfId="156" xr:uid="{00000000-0005-0000-0000-00009C000000}"/>
    <cellStyle name="Millares 3 2 4 2" xfId="288" xr:uid="{00000000-0005-0000-0000-000020010000}"/>
    <cellStyle name="Millares 3 2 4 2 2" xfId="431" xr:uid="{00000000-0005-0000-0000-0000AF010000}"/>
    <cellStyle name="Millares 3 2 5" xfId="222" xr:uid="{00000000-0005-0000-0000-0000DE000000}"/>
    <cellStyle name="Millares 3 2 5 2" xfId="365" xr:uid="{00000000-0005-0000-0000-00006D010000}"/>
    <cellStyle name="Millares 3 3" xfId="90" xr:uid="{00000000-0005-0000-0000-00005A000000}"/>
    <cellStyle name="Millares 3 3 2" xfId="139" xr:uid="{00000000-0005-0000-0000-00008B000000}"/>
    <cellStyle name="Millares 3 3 2 2" xfId="205" xr:uid="{00000000-0005-0000-0000-0000CD000000}"/>
    <cellStyle name="Millares 3 3 2 2 2" xfId="337" xr:uid="{00000000-0005-0000-0000-000051010000}"/>
    <cellStyle name="Millares 3 3 2 2 2 2" xfId="480" xr:uid="{00000000-0005-0000-0000-0000E0010000}"/>
    <cellStyle name="Millares 3 3 2 3" xfId="272" xr:uid="{00000000-0005-0000-0000-000010010000}"/>
    <cellStyle name="Millares 3 3 2 3 2" xfId="415" xr:uid="{00000000-0005-0000-0000-00009F010000}"/>
    <cellStyle name="Millares 3 3 3" xfId="162" xr:uid="{00000000-0005-0000-0000-0000A2000000}"/>
    <cellStyle name="Millares 3 3 3 2" xfId="294" xr:uid="{00000000-0005-0000-0000-000026010000}"/>
    <cellStyle name="Millares 3 3 3 2 2" xfId="437" xr:uid="{00000000-0005-0000-0000-0000B5010000}"/>
    <cellStyle name="Millares 3 3 4" xfId="228" xr:uid="{00000000-0005-0000-0000-0000E4000000}"/>
    <cellStyle name="Millares 3 3 4 2" xfId="371" xr:uid="{00000000-0005-0000-0000-000073010000}"/>
    <cellStyle name="Millares 3 4" xfId="20" xr:uid="{00000000-0005-0000-0000-000014000000}"/>
    <cellStyle name="Millares 3 4 2" xfId="356" xr:uid="{00000000-0005-0000-0000-000064010000}"/>
    <cellStyle name="Millares 3 4 2 2" xfId="499" xr:uid="{00000000-0005-0000-0000-0000F3010000}"/>
    <cellStyle name="Millares 3 5" xfId="131" xr:uid="{00000000-0005-0000-0000-000083000000}"/>
    <cellStyle name="Millares 3 5 2" xfId="199" xr:uid="{00000000-0005-0000-0000-0000C7000000}"/>
    <cellStyle name="Millares 3 5 2 2" xfId="331" xr:uid="{00000000-0005-0000-0000-00004B010000}"/>
    <cellStyle name="Millares 3 5 2 2 2" xfId="474" xr:uid="{00000000-0005-0000-0000-0000DA010000}"/>
    <cellStyle name="Millares 3 5 3" xfId="266" xr:uid="{00000000-0005-0000-0000-00000A010000}"/>
    <cellStyle name="Millares 3 5 3 2" xfId="409" xr:uid="{00000000-0005-0000-0000-000099010000}"/>
    <cellStyle name="Millares 3 6" xfId="103" xr:uid="{00000000-0005-0000-0000-000067000000}"/>
    <cellStyle name="Millares 3 7" xfId="151" xr:uid="{00000000-0005-0000-0000-000097000000}"/>
    <cellStyle name="Millares 3 7 2" xfId="283" xr:uid="{00000000-0005-0000-0000-00001B010000}"/>
    <cellStyle name="Millares 3 7 2 2" xfId="426" xr:uid="{00000000-0005-0000-0000-0000AA010000}"/>
    <cellStyle name="Millares 3 8" xfId="216" xr:uid="{00000000-0005-0000-0000-0000D8000000}"/>
    <cellStyle name="Millares 3 8 2" xfId="359" xr:uid="{00000000-0005-0000-0000-000067010000}"/>
    <cellStyle name="Millares 3 9" xfId="78" xr:uid="{00000000-0005-0000-0000-00004E000000}"/>
    <cellStyle name="Millares 4" xfId="84" xr:uid="{00000000-0005-0000-0000-000054000000}"/>
    <cellStyle name="Millares 4 2" xfId="87" xr:uid="{00000000-0005-0000-0000-000057000000}"/>
    <cellStyle name="Millares 4 2 2" xfId="94" xr:uid="{00000000-0005-0000-0000-00005E000000}"/>
    <cellStyle name="Millares 4 2 2 2" xfId="145" xr:uid="{00000000-0005-0000-0000-000091000000}"/>
    <cellStyle name="Millares 4 2 2 2 2" xfId="211" xr:uid="{00000000-0005-0000-0000-0000D3000000}"/>
    <cellStyle name="Millares 4 2 2 2 2 2" xfId="343" xr:uid="{00000000-0005-0000-0000-000057010000}"/>
    <cellStyle name="Millares 4 2 2 2 2 2 2" xfId="486" xr:uid="{00000000-0005-0000-0000-0000E6010000}"/>
    <cellStyle name="Millares 4 2 2 2 3" xfId="278" xr:uid="{00000000-0005-0000-0000-000016010000}"/>
    <cellStyle name="Millares 4 2 2 2 3 2" xfId="421" xr:uid="{00000000-0005-0000-0000-0000A5010000}"/>
    <cellStyle name="Millares 4 2 2 3" xfId="168" xr:uid="{00000000-0005-0000-0000-0000A8000000}"/>
    <cellStyle name="Millares 4 2 2 3 2" xfId="300" xr:uid="{00000000-0005-0000-0000-00002C010000}"/>
    <cellStyle name="Millares 4 2 2 3 2 2" xfId="443" xr:uid="{00000000-0005-0000-0000-0000BB010000}"/>
    <cellStyle name="Millares 4 2 2 4" xfId="234" xr:uid="{00000000-0005-0000-0000-0000EA000000}"/>
    <cellStyle name="Millares 4 2 2 4 2" xfId="377" xr:uid="{00000000-0005-0000-0000-000079010000}"/>
    <cellStyle name="Millares 4 2 3" xfId="136" xr:uid="{00000000-0005-0000-0000-000088000000}"/>
    <cellStyle name="Millares 4 2 3 2" xfId="202" xr:uid="{00000000-0005-0000-0000-0000CA000000}"/>
    <cellStyle name="Millares 4 2 3 2 2" xfId="334" xr:uid="{00000000-0005-0000-0000-00004E010000}"/>
    <cellStyle name="Millares 4 2 3 2 2 2" xfId="477" xr:uid="{00000000-0005-0000-0000-0000DD010000}"/>
    <cellStyle name="Millares 4 2 3 3" xfId="269" xr:uid="{00000000-0005-0000-0000-00000D010000}"/>
    <cellStyle name="Millares 4 2 3 3 2" xfId="412" xr:uid="{00000000-0005-0000-0000-00009C010000}"/>
    <cellStyle name="Millares 4 2 4" xfId="157" xr:uid="{00000000-0005-0000-0000-00009D000000}"/>
    <cellStyle name="Millares 4 2 4 2" xfId="289" xr:uid="{00000000-0005-0000-0000-000021010000}"/>
    <cellStyle name="Millares 4 2 4 2 2" xfId="432" xr:uid="{00000000-0005-0000-0000-0000B0010000}"/>
    <cellStyle name="Millares 4 2 5" xfId="223" xr:uid="{00000000-0005-0000-0000-0000DF000000}"/>
    <cellStyle name="Millares 4 2 5 2" xfId="366" xr:uid="{00000000-0005-0000-0000-00006E010000}"/>
    <cellStyle name="Millares 4 3" xfId="91" xr:uid="{00000000-0005-0000-0000-00005B000000}"/>
    <cellStyle name="Millares 4 3 2" xfId="140" xr:uid="{00000000-0005-0000-0000-00008C000000}"/>
    <cellStyle name="Millares 4 3 2 2" xfId="206" xr:uid="{00000000-0005-0000-0000-0000CE000000}"/>
    <cellStyle name="Millares 4 3 2 2 2" xfId="338" xr:uid="{00000000-0005-0000-0000-000052010000}"/>
    <cellStyle name="Millares 4 3 2 2 2 2" xfId="481" xr:uid="{00000000-0005-0000-0000-0000E1010000}"/>
    <cellStyle name="Millares 4 3 2 3" xfId="273" xr:uid="{00000000-0005-0000-0000-000011010000}"/>
    <cellStyle name="Millares 4 3 2 3 2" xfId="416" xr:uid="{00000000-0005-0000-0000-0000A0010000}"/>
    <cellStyle name="Millares 4 3 3" xfId="163" xr:uid="{00000000-0005-0000-0000-0000A3000000}"/>
    <cellStyle name="Millares 4 3 3 2" xfId="295" xr:uid="{00000000-0005-0000-0000-000027010000}"/>
    <cellStyle name="Millares 4 3 3 2 2" xfId="438" xr:uid="{00000000-0005-0000-0000-0000B6010000}"/>
    <cellStyle name="Millares 4 3 4" xfId="229" xr:uid="{00000000-0005-0000-0000-0000E5000000}"/>
    <cellStyle name="Millares 4 3 4 2" xfId="372" xr:uid="{00000000-0005-0000-0000-000074010000}"/>
    <cellStyle name="Millares 4 4" xfId="120" xr:uid="{00000000-0005-0000-0000-000078000000}"/>
    <cellStyle name="Millares 4 4 2" xfId="190" xr:uid="{00000000-0005-0000-0000-0000BE000000}"/>
    <cellStyle name="Millares 4 4 2 2" xfId="322" xr:uid="{00000000-0005-0000-0000-000042010000}"/>
    <cellStyle name="Millares 4 4 2 2 2" xfId="465" xr:uid="{00000000-0005-0000-0000-0000D1010000}"/>
    <cellStyle name="Millares 4 4 3" xfId="257" xr:uid="{00000000-0005-0000-0000-000001010000}"/>
    <cellStyle name="Millares 4 4 3 2" xfId="400" xr:uid="{00000000-0005-0000-0000-000090010000}"/>
    <cellStyle name="Millares 4 5" xfId="152" xr:uid="{00000000-0005-0000-0000-000098000000}"/>
    <cellStyle name="Millares 4 5 2" xfId="284" xr:uid="{00000000-0005-0000-0000-00001C010000}"/>
    <cellStyle name="Millares 4 5 2 2" xfId="427" xr:uid="{00000000-0005-0000-0000-0000AB010000}"/>
    <cellStyle name="Millares 4 6" xfId="218" xr:uid="{00000000-0005-0000-0000-0000DA000000}"/>
    <cellStyle name="Millares 4 6 2" xfId="361" xr:uid="{00000000-0005-0000-0000-000069010000}"/>
    <cellStyle name="Millares 5" xfId="101" xr:uid="{00000000-0005-0000-0000-000065000000}"/>
    <cellStyle name="Millares 5 2" xfId="178" xr:uid="{00000000-0005-0000-0000-0000B2000000}"/>
    <cellStyle name="Millares 5 2 2" xfId="310" xr:uid="{00000000-0005-0000-0000-000036010000}"/>
    <cellStyle name="Millares 5 2 2 2" xfId="453" xr:uid="{00000000-0005-0000-0000-0000C5010000}"/>
    <cellStyle name="Millares 5 3" xfId="244" xr:uid="{00000000-0005-0000-0000-0000F4000000}"/>
    <cellStyle name="Millares 5 3 2" xfId="387" xr:uid="{00000000-0005-0000-0000-000083010000}"/>
    <cellStyle name="Millares 6" xfId="108" xr:uid="{00000000-0005-0000-0000-00006C000000}"/>
    <cellStyle name="Millares 6 2" xfId="182" xr:uid="{00000000-0005-0000-0000-0000B6000000}"/>
    <cellStyle name="Millares 6 2 2" xfId="314" xr:uid="{00000000-0005-0000-0000-00003A010000}"/>
    <cellStyle name="Millares 6 2 2 2" xfId="457" xr:uid="{00000000-0005-0000-0000-0000C9010000}"/>
    <cellStyle name="Millares 6 3" xfId="249" xr:uid="{00000000-0005-0000-0000-0000F9000000}"/>
    <cellStyle name="Millares 6 3 2" xfId="392" xr:uid="{00000000-0005-0000-0000-000088010000}"/>
    <cellStyle name="Millares 7" xfId="174" xr:uid="{00000000-0005-0000-0000-0000AE000000}"/>
    <cellStyle name="Millares 7 2" xfId="306" xr:uid="{00000000-0005-0000-0000-000032010000}"/>
    <cellStyle name="Millares 7 2 2" xfId="449" xr:uid="{00000000-0005-0000-0000-0000C1010000}"/>
    <cellStyle name="Millares 8" xfId="240" xr:uid="{00000000-0005-0000-0000-0000F0000000}"/>
    <cellStyle name="Millares 8 2" xfId="383" xr:uid="{00000000-0005-0000-0000-00007F010000}"/>
    <cellStyle name="Millares 9" xfId="347" xr:uid="{00000000-0005-0000-0000-00005B010000}"/>
    <cellStyle name="Millares 9 2" xfId="490" xr:uid="{00000000-0005-0000-0000-0000EA010000}"/>
    <cellStyle name="Moneda" xfId="11" xr:uid="{00000000-0005-0000-0000-00000B000000}"/>
    <cellStyle name="Moneda [0] 2" xfId="19" xr:uid="{00000000-0005-0000-0000-000013000000}"/>
    <cellStyle name="Moneda [0] 2 2" xfId="123" xr:uid="{00000000-0005-0000-0000-00007B000000}"/>
    <cellStyle name="Moneda [0] 2 2 2" xfId="192" xr:uid="{00000000-0005-0000-0000-0000C0000000}"/>
    <cellStyle name="Moneda [0] 2 2 2 2" xfId="324" xr:uid="{00000000-0005-0000-0000-000044010000}"/>
    <cellStyle name="Moneda [0] 2 2 2 2 2" xfId="467" xr:uid="{00000000-0005-0000-0000-0000D3010000}"/>
    <cellStyle name="Moneda [0] 2 2 3" xfId="259" xr:uid="{00000000-0005-0000-0000-000003010000}"/>
    <cellStyle name="Moneda [0] 2 2 3 2" xfId="402" xr:uid="{00000000-0005-0000-0000-000092010000}"/>
    <cellStyle name="Moneda [0] 2 3" xfId="130" xr:uid="{00000000-0005-0000-0000-000082000000}"/>
    <cellStyle name="Moneda [0] 2 3 2" xfId="198" xr:uid="{00000000-0005-0000-0000-0000C6000000}"/>
    <cellStyle name="Moneda [0] 2 3 2 2" xfId="330" xr:uid="{00000000-0005-0000-0000-00004A010000}"/>
    <cellStyle name="Moneda [0] 2 3 2 2 2" xfId="473" xr:uid="{00000000-0005-0000-0000-0000D9010000}"/>
    <cellStyle name="Moneda [0] 2 3 3" xfId="265" xr:uid="{00000000-0005-0000-0000-000009010000}"/>
    <cellStyle name="Moneda [0] 2 3 3 2" xfId="408" xr:uid="{00000000-0005-0000-0000-000098010000}"/>
    <cellStyle name="Moneda [0] 2 4" xfId="180" xr:uid="{00000000-0005-0000-0000-0000B4000000}"/>
    <cellStyle name="Moneda [0] 2 4 2" xfId="312" xr:uid="{00000000-0005-0000-0000-000038010000}"/>
    <cellStyle name="Moneda [0] 2 4 2 2" xfId="455" xr:uid="{00000000-0005-0000-0000-0000C7010000}"/>
    <cellStyle name="Moneda [0] 2 5" xfId="246" xr:uid="{00000000-0005-0000-0000-0000F6000000}"/>
    <cellStyle name="Moneda [0] 2 5 2" xfId="389" xr:uid="{00000000-0005-0000-0000-000085010000}"/>
    <cellStyle name="Moneda [0] 2 6" xfId="105" xr:uid="{00000000-0005-0000-0000-000069000000}"/>
    <cellStyle name="Moneda [0] 3" xfId="124" xr:uid="{00000000-0005-0000-0000-00007C000000}"/>
    <cellStyle name="Moneda [0] 3 2" xfId="193" xr:uid="{00000000-0005-0000-0000-0000C1000000}"/>
    <cellStyle name="Moneda [0] 3 2 2" xfId="325" xr:uid="{00000000-0005-0000-0000-000045010000}"/>
    <cellStyle name="Moneda [0] 3 2 2 2" xfId="468" xr:uid="{00000000-0005-0000-0000-0000D4010000}"/>
    <cellStyle name="Moneda [0] 3 3" xfId="260" xr:uid="{00000000-0005-0000-0000-000004010000}"/>
    <cellStyle name="Moneda [0] 3 3 2" xfId="403" xr:uid="{00000000-0005-0000-0000-000093010000}"/>
    <cellStyle name="Moneda 10" xfId="215" xr:uid="{00000000-0005-0000-0000-0000D7000000}"/>
    <cellStyle name="Moneda 10 2" xfId="358" xr:uid="{00000000-0005-0000-0000-000066010000}"/>
    <cellStyle name="Moneda 11" xfId="217" xr:uid="{00000000-0005-0000-0000-0000D9000000}"/>
    <cellStyle name="Moneda 11 2" xfId="360" xr:uid="{00000000-0005-0000-0000-000068010000}"/>
    <cellStyle name="Moneda 12" xfId="247" xr:uid="{00000000-0005-0000-0000-0000F7000000}"/>
    <cellStyle name="Moneda 12 2" xfId="390" xr:uid="{00000000-0005-0000-0000-000086010000}"/>
    <cellStyle name="Moneda 13" xfId="348" xr:uid="{00000000-0005-0000-0000-00005C010000}"/>
    <cellStyle name="Moneda 13 2" xfId="491" xr:uid="{00000000-0005-0000-0000-0000EB010000}"/>
    <cellStyle name="Moneda 2" xfId="15" xr:uid="{00000000-0005-0000-0000-00000F000000}"/>
    <cellStyle name="Moneda 2 2" xfId="33" xr:uid="{00000000-0005-0000-0000-000021000000}"/>
    <cellStyle name="Moneda 2 2 2" xfId="96" xr:uid="{00000000-0005-0000-0000-000060000000}"/>
    <cellStyle name="Moneda 2 2 2 2" xfId="147" xr:uid="{00000000-0005-0000-0000-000093000000}"/>
    <cellStyle name="Moneda 2 2 2 2 2" xfId="213" xr:uid="{00000000-0005-0000-0000-0000D5000000}"/>
    <cellStyle name="Moneda 2 2 2 2 2 2" xfId="345" xr:uid="{00000000-0005-0000-0000-000059010000}"/>
    <cellStyle name="Moneda 2 2 2 2 2 2 2" xfId="488" xr:uid="{00000000-0005-0000-0000-0000E8010000}"/>
    <cellStyle name="Moneda 2 2 2 2 3" xfId="280" xr:uid="{00000000-0005-0000-0000-000018010000}"/>
    <cellStyle name="Moneda 2 2 2 2 3 2" xfId="423" xr:uid="{00000000-0005-0000-0000-0000A7010000}"/>
    <cellStyle name="Moneda 2 2 2 3" xfId="171" xr:uid="{00000000-0005-0000-0000-0000AB000000}"/>
    <cellStyle name="Moneda 2 2 2 3 2" xfId="303" xr:uid="{00000000-0005-0000-0000-00002F010000}"/>
    <cellStyle name="Moneda 2 2 2 3 2 2" xfId="446" xr:uid="{00000000-0005-0000-0000-0000BE010000}"/>
    <cellStyle name="Moneda 2 2 2 4" xfId="237" xr:uid="{00000000-0005-0000-0000-0000ED000000}"/>
    <cellStyle name="Moneda 2 2 2 4 2" xfId="380" xr:uid="{00000000-0005-0000-0000-00007C010000}"/>
    <cellStyle name="Moneda 2 2 3" xfId="138" xr:uid="{00000000-0005-0000-0000-00008A000000}"/>
    <cellStyle name="Moneda 2 2 3 2" xfId="204" xr:uid="{00000000-0005-0000-0000-0000CC000000}"/>
    <cellStyle name="Moneda 2 2 3 2 2" xfId="336" xr:uid="{00000000-0005-0000-0000-000050010000}"/>
    <cellStyle name="Moneda 2 2 3 2 2 2" xfId="479" xr:uid="{00000000-0005-0000-0000-0000DF010000}"/>
    <cellStyle name="Moneda 2 2 3 3" xfId="271" xr:uid="{00000000-0005-0000-0000-00000F010000}"/>
    <cellStyle name="Moneda 2 2 3 3 2" xfId="414" xr:uid="{00000000-0005-0000-0000-00009E010000}"/>
    <cellStyle name="Moneda 2 2 4" xfId="121" xr:uid="{00000000-0005-0000-0000-000079000000}"/>
    <cellStyle name="Moneda 2 2 4 2" xfId="353" xr:uid="{00000000-0005-0000-0000-000061010000}"/>
    <cellStyle name="Moneda 2 2 4 2 2" xfId="496" xr:uid="{00000000-0005-0000-0000-0000F0010000}"/>
    <cellStyle name="Moneda 2 2 5" xfId="160" xr:uid="{00000000-0005-0000-0000-0000A0000000}"/>
    <cellStyle name="Moneda 2 2 5 2" xfId="292" xr:uid="{00000000-0005-0000-0000-000024010000}"/>
    <cellStyle name="Moneda 2 2 5 2 2" xfId="435" xr:uid="{00000000-0005-0000-0000-0000B3010000}"/>
    <cellStyle name="Moneda 2 2 6" xfId="226" xr:uid="{00000000-0005-0000-0000-0000E2000000}"/>
    <cellStyle name="Moneda 2 2 6 2" xfId="369" xr:uid="{00000000-0005-0000-0000-000071010000}"/>
    <cellStyle name="Moneda 2 3" xfId="36" xr:uid="{00000000-0005-0000-0000-000024000000}"/>
    <cellStyle name="Moneda 2 3 2" xfId="143" xr:uid="{00000000-0005-0000-0000-00008F000000}"/>
    <cellStyle name="Moneda 2 3 2 2" xfId="209" xr:uid="{00000000-0005-0000-0000-0000D1000000}"/>
    <cellStyle name="Moneda 2 3 2 2 2" xfId="341" xr:uid="{00000000-0005-0000-0000-000055010000}"/>
    <cellStyle name="Moneda 2 3 2 2 2 2" xfId="484" xr:uid="{00000000-0005-0000-0000-0000E4010000}"/>
    <cellStyle name="Moneda 2 3 2 3" xfId="276" xr:uid="{00000000-0005-0000-0000-000014010000}"/>
    <cellStyle name="Moneda 2 3 2 3 2" xfId="419" xr:uid="{00000000-0005-0000-0000-0000A3010000}"/>
    <cellStyle name="Moneda 2 3 3" xfId="115" xr:uid="{00000000-0005-0000-0000-000073000000}"/>
    <cellStyle name="Moneda 2 3 3 2" xfId="355" xr:uid="{00000000-0005-0000-0000-000063010000}"/>
    <cellStyle name="Moneda 2 3 3 2 2" xfId="498" xr:uid="{00000000-0005-0000-0000-0000F2010000}"/>
    <cellStyle name="Moneda 2 3 4" xfId="166" xr:uid="{00000000-0005-0000-0000-0000A6000000}"/>
    <cellStyle name="Moneda 2 3 4 2" xfId="298" xr:uid="{00000000-0005-0000-0000-00002A010000}"/>
    <cellStyle name="Moneda 2 3 4 2 2" xfId="441" xr:uid="{00000000-0005-0000-0000-0000B9010000}"/>
    <cellStyle name="Moneda 2 3 5" xfId="232" xr:uid="{00000000-0005-0000-0000-0000E8000000}"/>
    <cellStyle name="Moneda 2 3 5 2" xfId="375" xr:uid="{00000000-0005-0000-0000-000077010000}"/>
    <cellStyle name="Moneda 2 4" xfId="134" xr:uid="{00000000-0005-0000-0000-000086000000}"/>
    <cellStyle name="Moneda 2 4 2" xfId="200" xr:uid="{00000000-0005-0000-0000-0000C8000000}"/>
    <cellStyle name="Moneda 2 4 2 2" xfId="332" xr:uid="{00000000-0005-0000-0000-00004C010000}"/>
    <cellStyle name="Moneda 2 4 2 2 2" xfId="475" xr:uid="{00000000-0005-0000-0000-0000DB010000}"/>
    <cellStyle name="Moneda 2 4 3" xfId="267" xr:uid="{00000000-0005-0000-0000-00000B010000}"/>
    <cellStyle name="Moneda 2 4 3 2" xfId="410" xr:uid="{00000000-0005-0000-0000-00009A010000}"/>
    <cellStyle name="Moneda 2 5" xfId="102" xr:uid="{00000000-0005-0000-0000-000066000000}"/>
    <cellStyle name="Moneda 2 5 2" xfId="352" xr:uid="{00000000-0005-0000-0000-000060010000}"/>
    <cellStyle name="Moneda 2 5 2 2" xfId="495" xr:uid="{00000000-0005-0000-0000-0000EF010000}"/>
    <cellStyle name="Moneda 2 6" xfId="155" xr:uid="{00000000-0005-0000-0000-00009B000000}"/>
    <cellStyle name="Moneda 2 6 2" xfId="287" xr:uid="{00000000-0005-0000-0000-00001F010000}"/>
    <cellStyle name="Moneda 2 6 2 2" xfId="430" xr:uid="{00000000-0005-0000-0000-0000AE010000}"/>
    <cellStyle name="Moneda 2 7" xfId="221" xr:uid="{00000000-0005-0000-0000-0000DD000000}"/>
    <cellStyle name="Moneda 2 7 2" xfId="364" xr:uid="{00000000-0005-0000-0000-00006C010000}"/>
    <cellStyle name="Moneda 3" xfId="30" xr:uid="{00000000-0005-0000-0000-00001E000000}"/>
    <cellStyle name="Moneda 3 2" xfId="88" xr:uid="{00000000-0005-0000-0000-000058000000}"/>
    <cellStyle name="Moneda 3 2 2" xfId="95" xr:uid="{00000000-0005-0000-0000-00005F000000}"/>
    <cellStyle name="Moneda 3 2 2 2" xfId="146" xr:uid="{00000000-0005-0000-0000-000092000000}"/>
    <cellStyle name="Moneda 3 2 2 2 2" xfId="212" xr:uid="{00000000-0005-0000-0000-0000D4000000}"/>
    <cellStyle name="Moneda 3 2 2 2 2 2" xfId="344" xr:uid="{00000000-0005-0000-0000-000058010000}"/>
    <cellStyle name="Moneda 3 2 2 2 2 2 2" xfId="487" xr:uid="{00000000-0005-0000-0000-0000E7010000}"/>
    <cellStyle name="Moneda 3 2 2 2 3" xfId="279" xr:uid="{00000000-0005-0000-0000-000017010000}"/>
    <cellStyle name="Moneda 3 2 2 2 3 2" xfId="422" xr:uid="{00000000-0005-0000-0000-0000A6010000}"/>
    <cellStyle name="Moneda 3 2 2 3" xfId="169" xr:uid="{00000000-0005-0000-0000-0000A9000000}"/>
    <cellStyle name="Moneda 3 2 2 3 2" xfId="301" xr:uid="{00000000-0005-0000-0000-00002D010000}"/>
    <cellStyle name="Moneda 3 2 2 3 2 2" xfId="444" xr:uid="{00000000-0005-0000-0000-0000BC010000}"/>
    <cellStyle name="Moneda 3 2 2 4" xfId="235" xr:uid="{00000000-0005-0000-0000-0000EB000000}"/>
    <cellStyle name="Moneda 3 2 2 4 2" xfId="378" xr:uid="{00000000-0005-0000-0000-00007A010000}"/>
    <cellStyle name="Moneda 3 2 3" xfId="137" xr:uid="{00000000-0005-0000-0000-000089000000}"/>
    <cellStyle name="Moneda 3 2 3 2" xfId="203" xr:uid="{00000000-0005-0000-0000-0000CB000000}"/>
    <cellStyle name="Moneda 3 2 3 2 2" xfId="335" xr:uid="{00000000-0005-0000-0000-00004F010000}"/>
    <cellStyle name="Moneda 3 2 3 2 2 2" xfId="478" xr:uid="{00000000-0005-0000-0000-0000DE010000}"/>
    <cellStyle name="Moneda 3 2 3 3" xfId="270" xr:uid="{00000000-0005-0000-0000-00000E010000}"/>
    <cellStyle name="Moneda 3 2 3 3 2" xfId="413" xr:uid="{00000000-0005-0000-0000-00009D010000}"/>
    <cellStyle name="Moneda 3 2 4" xfId="158" xr:uid="{00000000-0005-0000-0000-00009E000000}"/>
    <cellStyle name="Moneda 3 2 4 2" xfId="290" xr:uid="{00000000-0005-0000-0000-000022010000}"/>
    <cellStyle name="Moneda 3 2 4 2 2" xfId="433" xr:uid="{00000000-0005-0000-0000-0000B1010000}"/>
    <cellStyle name="Moneda 3 2 5" xfId="224" xr:uid="{00000000-0005-0000-0000-0000E0000000}"/>
    <cellStyle name="Moneda 3 2 5 2" xfId="367" xr:uid="{00000000-0005-0000-0000-00006F010000}"/>
    <cellStyle name="Moneda 3 3" xfId="92" xr:uid="{00000000-0005-0000-0000-00005C000000}"/>
    <cellStyle name="Moneda 3 3 2" xfId="141" xr:uid="{00000000-0005-0000-0000-00008D000000}"/>
    <cellStyle name="Moneda 3 3 2 2" xfId="207" xr:uid="{00000000-0005-0000-0000-0000CF000000}"/>
    <cellStyle name="Moneda 3 3 2 2 2" xfId="339" xr:uid="{00000000-0005-0000-0000-000053010000}"/>
    <cellStyle name="Moneda 3 3 2 2 2 2" xfId="482" xr:uid="{00000000-0005-0000-0000-0000E2010000}"/>
    <cellStyle name="Moneda 3 3 2 3" xfId="274" xr:uid="{00000000-0005-0000-0000-000012010000}"/>
    <cellStyle name="Moneda 3 3 2 3 2" xfId="417" xr:uid="{00000000-0005-0000-0000-0000A1010000}"/>
    <cellStyle name="Moneda 3 3 3" xfId="164" xr:uid="{00000000-0005-0000-0000-0000A4000000}"/>
    <cellStyle name="Moneda 3 3 3 2" xfId="296" xr:uid="{00000000-0005-0000-0000-000028010000}"/>
    <cellStyle name="Moneda 3 3 3 2 2" xfId="439" xr:uid="{00000000-0005-0000-0000-0000B7010000}"/>
    <cellStyle name="Moneda 3 3 4" xfId="230" xr:uid="{00000000-0005-0000-0000-0000E6000000}"/>
    <cellStyle name="Moneda 3 3 4 2" xfId="373" xr:uid="{00000000-0005-0000-0000-000075010000}"/>
    <cellStyle name="Moneda 3 4" xfId="113" xr:uid="{00000000-0005-0000-0000-000071000000}"/>
    <cellStyle name="Moneda 3 4 2" xfId="185" xr:uid="{00000000-0005-0000-0000-0000B9000000}"/>
    <cellStyle name="Moneda 3 4 2 2" xfId="317" xr:uid="{00000000-0005-0000-0000-00003D010000}"/>
    <cellStyle name="Moneda 3 4 2 2 2" xfId="460" xr:uid="{00000000-0005-0000-0000-0000CC010000}"/>
    <cellStyle name="Moneda 3 4 3" xfId="252" xr:uid="{00000000-0005-0000-0000-0000FC000000}"/>
    <cellStyle name="Moneda 3 4 3 2" xfId="395" xr:uid="{00000000-0005-0000-0000-00008B010000}"/>
    <cellStyle name="Moneda 3 5" xfId="153" xr:uid="{00000000-0005-0000-0000-000099000000}"/>
    <cellStyle name="Moneda 3 5 2" xfId="285" xr:uid="{00000000-0005-0000-0000-00001D010000}"/>
    <cellStyle name="Moneda 3 5 2 2" xfId="428" xr:uid="{00000000-0005-0000-0000-0000AC010000}"/>
    <cellStyle name="Moneda 3 6" xfId="219" xr:uid="{00000000-0005-0000-0000-0000DB000000}"/>
    <cellStyle name="Moneda 3 6 2" xfId="362" xr:uid="{00000000-0005-0000-0000-00006A010000}"/>
    <cellStyle name="Moneda 4" xfId="89" xr:uid="{00000000-0005-0000-0000-000059000000}"/>
    <cellStyle name="Moneda 4 2" xfId="126" xr:uid="{00000000-0005-0000-0000-00007E000000}"/>
    <cellStyle name="Moneda 4 2 2" xfId="195" xr:uid="{00000000-0005-0000-0000-0000C3000000}"/>
    <cellStyle name="Moneda 4 2 2 2" xfId="327" xr:uid="{00000000-0005-0000-0000-000047010000}"/>
    <cellStyle name="Moneda 4 2 2 2 2" xfId="470" xr:uid="{00000000-0005-0000-0000-0000D6010000}"/>
    <cellStyle name="Moneda 4 2 3" xfId="262" xr:uid="{00000000-0005-0000-0000-000006010000}"/>
    <cellStyle name="Moneda 4 2 3 2" xfId="405" xr:uid="{00000000-0005-0000-0000-000095010000}"/>
    <cellStyle name="Moneda 4 3" xfId="161" xr:uid="{00000000-0005-0000-0000-0000A1000000}"/>
    <cellStyle name="Moneda 4 3 2" xfId="293" xr:uid="{00000000-0005-0000-0000-000025010000}"/>
    <cellStyle name="Moneda 4 3 2 2" xfId="436" xr:uid="{00000000-0005-0000-0000-0000B4010000}"/>
    <cellStyle name="Moneda 4 4" xfId="227" xr:uid="{00000000-0005-0000-0000-0000E3000000}"/>
    <cellStyle name="Moneda 4 4 2" xfId="370" xr:uid="{00000000-0005-0000-0000-000072010000}"/>
    <cellStyle name="Moneda 4 5" xfId="504" xr:uid="{1FE63A8D-24F6-4123-A937-9BBBF47100EC}"/>
    <cellStyle name="Moneda 5" xfId="98" xr:uid="{00000000-0005-0000-0000-000062000000}"/>
    <cellStyle name="Moneda 5 2" xfId="149" xr:uid="{00000000-0005-0000-0000-000095000000}"/>
    <cellStyle name="Moneda 5 3" xfId="128" xr:uid="{00000000-0005-0000-0000-000080000000}"/>
    <cellStyle name="Moneda 5 3 2" xfId="196" xr:uid="{00000000-0005-0000-0000-0000C4000000}"/>
    <cellStyle name="Moneda 5 3 2 2" xfId="328" xr:uid="{00000000-0005-0000-0000-000048010000}"/>
    <cellStyle name="Moneda 5 3 2 2 2" xfId="471" xr:uid="{00000000-0005-0000-0000-0000D7010000}"/>
    <cellStyle name="Moneda 5 3 3" xfId="263" xr:uid="{00000000-0005-0000-0000-000007010000}"/>
    <cellStyle name="Moneda 5 3 3 2" xfId="406" xr:uid="{00000000-0005-0000-0000-000096010000}"/>
    <cellStyle name="Moneda 6" xfId="129" xr:uid="{00000000-0005-0000-0000-000081000000}"/>
    <cellStyle name="Moneda 6 2" xfId="197" xr:uid="{00000000-0005-0000-0000-0000C5000000}"/>
    <cellStyle name="Moneda 6 2 2" xfId="329" xr:uid="{00000000-0005-0000-0000-000049010000}"/>
    <cellStyle name="Moneda 6 2 2 2" xfId="472" xr:uid="{00000000-0005-0000-0000-0000D8010000}"/>
    <cellStyle name="Moneda 6 3" xfId="264" xr:uid="{00000000-0005-0000-0000-000008010000}"/>
    <cellStyle name="Moneda 6 3 2" xfId="407" xr:uid="{00000000-0005-0000-0000-000097010000}"/>
    <cellStyle name="Moneda 7" xfId="100" xr:uid="{00000000-0005-0000-0000-000064000000}"/>
    <cellStyle name="Moneda 7 2" xfId="177" xr:uid="{00000000-0005-0000-0000-0000B1000000}"/>
    <cellStyle name="Moneda 7 2 2" xfId="309" xr:uid="{00000000-0005-0000-0000-000035010000}"/>
    <cellStyle name="Moneda 7 2 2 2" xfId="452" xr:uid="{00000000-0005-0000-0000-0000C4010000}"/>
    <cellStyle name="Moneda 7 3" xfId="243" xr:uid="{00000000-0005-0000-0000-0000F3000000}"/>
    <cellStyle name="Moneda 7 3 2" xfId="386" xr:uid="{00000000-0005-0000-0000-000082010000}"/>
    <cellStyle name="Moneda 8" xfId="111" xr:uid="{00000000-0005-0000-0000-00006F000000}"/>
    <cellStyle name="Moneda 8 2" xfId="183" xr:uid="{00000000-0005-0000-0000-0000B7000000}"/>
    <cellStyle name="Moneda 8 2 2" xfId="315" xr:uid="{00000000-0005-0000-0000-00003B010000}"/>
    <cellStyle name="Moneda 8 2 2 2" xfId="458" xr:uid="{00000000-0005-0000-0000-0000CA010000}"/>
    <cellStyle name="Moneda 8 3" xfId="250" xr:uid="{00000000-0005-0000-0000-0000FA000000}"/>
    <cellStyle name="Moneda 8 3 2" xfId="393" xr:uid="{00000000-0005-0000-0000-000089010000}"/>
    <cellStyle name="Moneda 9" xfId="150" xr:uid="{00000000-0005-0000-0000-000096000000}"/>
    <cellStyle name="Moneda 9 2" xfId="282" xr:uid="{00000000-0005-0000-0000-00001A010000}"/>
    <cellStyle name="Moneda 9 2 2" xfId="425" xr:uid="{00000000-0005-0000-0000-0000A9010000}"/>
    <cellStyle name="Neutral" xfId="44" xr:uid="{00000000-0005-0000-0000-00002C000000}"/>
    <cellStyle name="Normal" xfId="0" builtinId="0"/>
    <cellStyle name="Normal 12" xfId="26" xr:uid="{00000000-0005-0000-0000-00001A000000}"/>
    <cellStyle name="Normal 2" xfId="10" xr:uid="{00000000-0005-0000-0000-00000A000000}"/>
    <cellStyle name="Normal 2 2" xfId="9" xr:uid="{00000000-0005-0000-0000-000009000000}"/>
    <cellStyle name="Normal 2 2 2" xfId="23" xr:uid="{00000000-0005-0000-0000-000017000000}"/>
    <cellStyle name="Normal 2 2 3" xfId="29" xr:uid="{00000000-0005-0000-0000-00001D000000}"/>
    <cellStyle name="Normal 2 3" xfId="80" xr:uid="{00000000-0005-0000-0000-000050000000}"/>
    <cellStyle name="Normal 2 3 2" xfId="133" xr:uid="{00000000-0005-0000-0000-000085000000}"/>
    <cellStyle name="Normal 2 3 3" xfId="119" xr:uid="{00000000-0005-0000-0000-000077000000}"/>
    <cellStyle name="Normal 2 4" xfId="27" xr:uid="{00000000-0005-0000-0000-00001B000000}"/>
    <cellStyle name="Normal 3" xfId="8" xr:uid="{00000000-0005-0000-0000-000008000000}"/>
    <cellStyle name="Normal 3 2" xfId="24" xr:uid="{00000000-0005-0000-0000-000018000000}"/>
    <cellStyle name="Normal 4" xfId="21" xr:uid="{00000000-0005-0000-0000-000015000000}"/>
    <cellStyle name="Normal 4 2" xfId="132" xr:uid="{00000000-0005-0000-0000-000084000000}"/>
    <cellStyle name="Normal 4 3" xfId="81" xr:uid="{00000000-0005-0000-0000-000051000000}"/>
    <cellStyle name="Normal 4 4" xfId="106" xr:uid="{00000000-0005-0000-0000-00006A000000}"/>
    <cellStyle name="Normal 4 5" xfId="79" xr:uid="{00000000-0005-0000-0000-00004F000000}"/>
    <cellStyle name="Normal 5" xfId="83" xr:uid="{00000000-0005-0000-0000-000053000000}"/>
    <cellStyle name="Normal 8" xfId="28" xr:uid="{00000000-0005-0000-0000-00001C000000}"/>
    <cellStyle name="Notas" xfId="51" xr:uid="{00000000-0005-0000-0000-000033000000}"/>
    <cellStyle name="Percent" xfId="1" xr:uid="{00000000-0005-0000-0000-000001000000}"/>
    <cellStyle name="Porcentaje" xfId="12" xr:uid="{00000000-0005-0000-0000-00000C000000}"/>
    <cellStyle name="Porcentaje 2" xfId="17" xr:uid="{00000000-0005-0000-0000-000011000000}"/>
    <cellStyle name="Porcentual 2" xfId="117" xr:uid="{00000000-0005-0000-0000-000075000000}"/>
    <cellStyle name="Salida" xfId="46" xr:uid="{00000000-0005-0000-0000-00002E000000}"/>
    <cellStyle name="TABLE HEADER" xfId="502" xr:uid="{00000000-0005-0000-0000-0000F6010000}"/>
    <cellStyle name="Texto de advertencia" xfId="50" xr:uid="{00000000-0005-0000-0000-000032000000}"/>
    <cellStyle name="Texto explicativo" xfId="52" xr:uid="{00000000-0005-0000-0000-000034000000}"/>
    <cellStyle name="Título" xfId="37" xr:uid="{00000000-0005-0000-0000-000025000000}"/>
    <cellStyle name="Título 2" xfId="39" xr:uid="{00000000-0005-0000-0000-000027000000}"/>
    <cellStyle name="Título 3" xfId="40" xr:uid="{00000000-0005-0000-0000-000028000000}"/>
    <cellStyle name="Total" xfId="53" xr:uid="{00000000-0005-0000-0000-000035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977900</xdr:colOff>
      <xdr:row>10</xdr:row>
      <xdr:rowOff>158750</xdr:rowOff>
    </xdr:from>
    <xdr:to>
      <xdr:col>2</xdr:col>
      <xdr:colOff>0</xdr:colOff>
      <xdr:row>15</xdr:row>
      <xdr:rowOff>120650</xdr:rowOff>
    </xdr:to>
    <xdr:pic>
      <xdr:nvPicPr>
        <xdr:cNvPr id="2" name="Gráfico 1" descr="Interfaz de la experiencia de usuario con relleno sólid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3175" y="1905000"/>
          <a:ext cx="723900" cy="819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160663</xdr:colOff>
      <xdr:row>9</xdr:row>
      <xdr:rowOff>121797</xdr:rowOff>
    </xdr:from>
    <xdr:to>
      <xdr:col>9</xdr:col>
      <xdr:colOff>1147590</xdr:colOff>
      <xdr:row>11</xdr:row>
      <xdr:rowOff>86207</xdr:rowOff>
    </xdr:to>
    <xdr:sp macro="" textlink="" fLocksText="0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4505325" y="2219325"/>
          <a:ext cx="2838450" cy="581025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tx1"/>
        </a:lnRef>
        <a:fillRef idx="1">
          <a:schemeClr val="bg1"/>
        </a:fillRef>
        <a:effectRef idx="0">
          <a:schemeClr val="tx1"/>
        </a:effectRef>
        <a:fontRef idx="minor">
          <a:schemeClr val="tx1"/>
        </a:fontRef>
      </xdr:style>
      <xdr:txBody>
        <a:bodyPr wrap="square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1219170">
            <a:buClr>
              <a:srgbClr val="000000"/>
            </a:buClr>
            <a:buNone/>
          </a:pPr>
          <a:endParaRPr lang="es-CO" sz="1865" kern="0">
            <a:solidFill>
              <a:srgbClr val="FFFFFF"/>
            </a:solidFill>
            <a:latin typeface="Helvetica" panose="020B0604020202020204" pitchFamily="34" charset="0"/>
            <a:cs typeface="Helvetica" panose="020B0604020202020204" pitchFamily="34" charset="0"/>
            <a:sym typeface="Arial"/>
          </a:endParaRPr>
        </a:p>
      </xdr:txBody>
    </xdr:sp>
    <xdr:clientData/>
  </xdr:twoCellAnchor>
  <xdr:twoCellAnchor>
    <xdr:from>
      <xdr:col>6</xdr:col>
      <xdr:colOff>130062</xdr:colOff>
      <xdr:row>11</xdr:row>
      <xdr:rowOff>91806</xdr:rowOff>
    </xdr:from>
    <xdr:to>
      <xdr:col>9</xdr:col>
      <xdr:colOff>1139940</xdr:colOff>
      <xdr:row>12</xdr:row>
      <xdr:rowOff>398495</xdr:rowOff>
    </xdr:to>
    <xdr:sp macro="" textlink="" fLocksText="0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4476750" y="2809875"/>
          <a:ext cx="2867025" cy="438150"/>
        </a:xfrm>
        <a:prstGeom prst="roundRect">
          <a:avLst/>
        </a:prstGeom>
        <a:solidFill>
          <a:srgbClr val="F5A8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wrap="square" anchor="ctr"/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1219170">
            <a:buClr>
              <a:srgbClr val="000000"/>
            </a:buClr>
            <a:buNone/>
          </a:pPr>
          <a:endParaRPr lang="es-CO" sz="1865" kern="0">
            <a:solidFill>
              <a:srgbClr val="FFFFFF"/>
            </a:solidFill>
            <a:latin typeface="Helvetica" panose="020B0604020202020204" pitchFamily="34" charset="0"/>
            <a:cs typeface="Helvetica" panose="020B0604020202020204" pitchFamily="34" charset="0"/>
            <a:sym typeface="Arial"/>
          </a:endParaRPr>
        </a:p>
      </xdr:txBody>
    </xdr:sp>
    <xdr:clientData/>
  </xdr:twoCellAnchor>
  <xdr:twoCellAnchor>
    <xdr:from>
      <xdr:col>6</xdr:col>
      <xdr:colOff>237091</xdr:colOff>
      <xdr:row>11</xdr:row>
      <xdr:rowOff>126234</xdr:rowOff>
    </xdr:from>
    <xdr:to>
      <xdr:col>9</xdr:col>
      <xdr:colOff>1055782</xdr:colOff>
      <xdr:row>12</xdr:row>
      <xdr:rowOff>456812</xdr:rowOff>
    </xdr:to>
    <xdr:sp macro="" textlink="">
      <xdr:nvSpPr>
        <xdr:cNvPr id="12" name="CuadroTexto 9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4581525" y="2838450"/>
          <a:ext cx="2676525" cy="409575"/>
        </a:xfrm>
        <a:prstGeom prst="rect">
          <a:avLst/>
        </a:prstGeom>
        <a:noFill/>
      </xdr:spPr>
      <xdr:txBody>
        <a:bodyPr wrap="square" anchor="ctr"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1219170">
            <a:buClr>
              <a:srgbClr val="000000"/>
            </a:buClr>
            <a:buNone/>
          </a:pPr>
          <a:r>
            <a:rPr lang="es-CO" sz="2800" b="1" kern="0">
              <a:solidFill>
                <a:srgbClr val="000000"/>
              </a:solidFill>
              <a:latin typeface="Helvetica" panose="020B0604020202020204" pitchFamily="34" charset="0"/>
              <a:cs typeface="Helvetica" panose="020B0604020202020204" pitchFamily="34" charset="0"/>
              <a:sym typeface="Arial"/>
            </a:rPr>
            <a:t> Experiencia</a:t>
          </a:r>
        </a:p>
      </xdr:txBody>
    </xdr:sp>
    <xdr:clientData/>
  </xdr:twoCellAnchor>
  <xdr:twoCellAnchor>
    <xdr:from>
      <xdr:col>6</xdr:col>
      <xdr:colOff>236479</xdr:colOff>
      <xdr:row>9</xdr:row>
      <xdr:rowOff>163875</xdr:rowOff>
    </xdr:from>
    <xdr:to>
      <xdr:col>9</xdr:col>
      <xdr:colOff>1086386</xdr:colOff>
      <xdr:row>11</xdr:row>
      <xdr:rowOff>68570</xdr:rowOff>
    </xdr:to>
    <xdr:sp macro="" textlink="">
      <xdr:nvSpPr>
        <xdr:cNvPr id="13" name="CuadroTexto 9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4581525" y="2257425"/>
          <a:ext cx="2705100" cy="523875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1219170">
            <a:buClr>
              <a:srgbClr val="000000"/>
            </a:buClr>
            <a:buNone/>
          </a:pPr>
          <a:r>
            <a:rPr lang="es-CO" sz="2800" b="1" kern="0">
              <a:solidFill>
                <a:srgbClr val="000000"/>
              </a:solidFill>
              <a:latin typeface="Helvetica" panose="020B0604020202020204" pitchFamily="34" charset="0"/>
              <a:cs typeface="Helvetica" panose="020B0604020202020204" pitchFamily="34" charset="0"/>
              <a:sym typeface="Arial"/>
            </a:rPr>
            <a:t> Tecnología</a:t>
          </a:r>
        </a:p>
      </xdr:txBody>
    </xdr:sp>
    <xdr:clientData/>
  </xdr:twoCellAnchor>
  <xdr:twoCellAnchor editAs="oneCell">
    <xdr:from>
      <xdr:col>6</xdr:col>
      <xdr:colOff>47625</xdr:colOff>
      <xdr:row>10</xdr:row>
      <xdr:rowOff>161925</xdr:rowOff>
    </xdr:from>
    <xdr:to>
      <xdr:col>6</xdr:col>
      <xdr:colOff>529251</xdr:colOff>
      <xdr:row>12</xdr:row>
      <xdr:rowOff>115487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91025" y="2571750"/>
          <a:ext cx="485775" cy="5048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895350</xdr:colOff>
      <xdr:row>14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0" y="0"/>
          <a:ext cx="4333875" cy="3543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eb-my.sharepoint.com/personal/sherrera_geb_com_co/Documents/Declaraciones%20peri&#243;dicas/GEB/Municipales/ICA/CIENAGA/2025/GEB%20-%20CIENAGA%20-%20ICA%20-%202024.xlsm" TargetMode="External"/><Relationship Id="rId1" Type="http://schemas.openxmlformats.org/officeDocument/2006/relationships/externalLinkPath" Target="GEB%20-%20CIENAGA%20-%20ICA%20-%20202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ria.caro\Downloads\numletra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dmin"/>
      <sheetName val="Portada"/>
      <sheetName val="Check list"/>
      <sheetName val="Formulario"/>
      <sheetName val="Anexo"/>
      <sheetName val="Ingreso x cuenta"/>
      <sheetName val="LiquidacionT"/>
      <sheetName val="Depuracionmunicipio"/>
      <sheetName val="Intereses"/>
      <sheetName val="Parametros"/>
      <sheetName val="Reporte"/>
      <sheetName val="Calendario"/>
      <sheetName val="RETEICACXC"/>
      <sheetName val="FORMATO MMP"/>
      <sheetName val="MEMORANDO T"/>
      <sheetName val="ENERO"/>
      <sheetName val="FEBRERO"/>
      <sheetName val="MARZO"/>
      <sheetName val="ABRIL"/>
      <sheetName val="MAYO"/>
      <sheetName val="JUNIO "/>
      <sheetName val="JULIO"/>
      <sheetName val="AGOSTO"/>
      <sheetName val="SEPTIEMBRE"/>
      <sheetName val="OCTUBRE"/>
      <sheetName val="NOVIEMBRE"/>
      <sheetName val="DICIEMBRE"/>
      <sheetName val="NoteTypes"/>
    </sheetNames>
    <sheetDataSet>
      <sheetData sheetId="0">
        <row r="3">
          <cell r="B3" t="str">
            <v>GRUPO ENERGIA BOGOTÄ SA ESP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20">
          <cell r="I120">
            <v>9716306994</v>
          </cell>
        </row>
        <row r="153">
          <cell r="I153">
            <v>0</v>
          </cell>
        </row>
        <row r="179">
          <cell r="I179">
            <v>0</v>
          </cell>
        </row>
        <row r="198">
          <cell r="I198">
            <v>89884254</v>
          </cell>
        </row>
        <row r="217">
          <cell r="I217">
            <v>0</v>
          </cell>
        </row>
        <row r="228">
          <cell r="I228">
            <v>0</v>
          </cell>
        </row>
        <row r="252">
          <cell r="F252">
            <v>0</v>
          </cell>
        </row>
        <row r="283">
          <cell r="F283">
            <v>0</v>
          </cell>
        </row>
        <row r="299">
          <cell r="F299">
            <v>0</v>
          </cell>
        </row>
      </sheetData>
      <sheetData sheetId="7" refreshError="1"/>
      <sheetData sheetId="8" refreshError="1"/>
      <sheetData sheetId="9">
        <row r="3">
          <cell r="T3" t="str">
            <v>Codigo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Hoja2"/>
      <sheetName val="Hoja3"/>
      <sheetName val="numletras"/>
    </sheetNames>
    <definedNames>
      <definedName name="NumLetras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impuestos@geb.com.co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O1048576"/>
  <sheetViews>
    <sheetView showGridLines="0" showRowColHeaders="0" workbookViewId="0">
      <selection activeCell="B5" sqref="B5:B10"/>
    </sheetView>
  </sheetViews>
  <sheetFormatPr baseColWidth="10" defaultColWidth="0" defaultRowHeight="15" zeroHeight="1"/>
  <cols>
    <col min="1" max="1" width="23.42578125" bestFit="1" customWidth="1"/>
    <col min="2" max="2" width="25.5703125" customWidth="1"/>
    <col min="3" max="12" width="0" hidden="1" customWidth="1"/>
    <col min="13" max="18" width="4.5703125" hidden="1" customWidth="1"/>
    <col min="19" max="19" width="18.5703125" hidden="1" customWidth="1"/>
    <col min="20" max="22" width="4.5703125" hidden="1" customWidth="1"/>
    <col min="23" max="23" width="18.5703125" hidden="1" customWidth="1"/>
    <col min="24" max="24" width="4.5703125" hidden="1" customWidth="1"/>
    <col min="25" max="25" width="14.85546875" hidden="1" customWidth="1"/>
    <col min="26" max="27" width="4.5703125" hidden="1" customWidth="1"/>
    <col min="28" max="28" width="22.7109375" hidden="1" customWidth="1"/>
    <col min="29" max="38" width="4.5703125" hidden="1" customWidth="1"/>
    <col min="39" max="39" width="4.5703125" customWidth="1"/>
    <col min="40" max="41" width="4.5703125" hidden="1" customWidth="1"/>
    <col min="42" max="16384" width="1.42578125" hidden="1"/>
  </cols>
  <sheetData>
    <row r="1" spans="1:28" ht="15.75" thickBot="1">
      <c r="A1" s="329" t="s">
        <v>0</v>
      </c>
      <c r="B1" s="329"/>
      <c r="C1" s="52"/>
      <c r="D1" s="52"/>
    </row>
    <row r="2" spans="1:28" ht="13.5" customHeight="1">
      <c r="A2" s="118" t="s">
        <v>1</v>
      </c>
      <c r="B2" s="119">
        <v>899999082</v>
      </c>
      <c r="C2" s="49"/>
    </row>
    <row r="3" spans="1:28" ht="13.5" customHeight="1">
      <c r="A3" s="118" t="s">
        <v>2</v>
      </c>
      <c r="B3" s="120" t="s">
        <v>295</v>
      </c>
    </row>
    <row r="4" spans="1:28" ht="13.5" customHeight="1">
      <c r="A4" s="118" t="s">
        <v>3</v>
      </c>
      <c r="B4" s="120" t="s">
        <v>297</v>
      </c>
    </row>
    <row r="5" spans="1:28" ht="13.5" customHeight="1">
      <c r="A5" s="118" t="s">
        <v>4</v>
      </c>
      <c r="B5" s="120">
        <v>2025</v>
      </c>
    </row>
    <row r="6" spans="1:28" ht="13.5" customHeight="1">
      <c r="A6" s="118" t="s">
        <v>5</v>
      </c>
      <c r="B6" s="120" t="s">
        <v>61</v>
      </c>
    </row>
    <row r="7" spans="1:28" ht="13.5" customHeight="1">
      <c r="A7" s="118" t="s">
        <v>6</v>
      </c>
      <c r="B7" s="120" t="s">
        <v>299</v>
      </c>
    </row>
    <row r="8" spans="1:28" ht="13.5" customHeight="1">
      <c r="A8" s="118" t="s">
        <v>7</v>
      </c>
      <c r="B8" s="121" t="s">
        <v>296</v>
      </c>
      <c r="R8" s="1" t="str">
        <f>+RIGHT($B$8,5)</f>
        <v>47189</v>
      </c>
    </row>
    <row r="9" spans="1:28" ht="13.5" customHeight="1">
      <c r="A9" s="118" t="s">
        <v>8</v>
      </c>
      <c r="B9" s="120"/>
      <c r="R9" t="s">
        <v>9</v>
      </c>
    </row>
    <row r="10" spans="1:28" ht="13.5" customHeight="1">
      <c r="A10" s="118" t="s">
        <v>10</v>
      </c>
      <c r="B10" s="122"/>
    </row>
    <row r="11" spans="1:28" ht="13.5" customHeight="1">
      <c r="A11" s="118" t="s">
        <v>11</v>
      </c>
      <c r="B11" s="122"/>
    </row>
    <row r="12" spans="1:28" ht="13.5" customHeight="1" thickBot="1">
      <c r="A12" s="118" t="s">
        <v>12</v>
      </c>
      <c r="B12" s="122"/>
      <c r="S12" s="21" t="s">
        <v>271</v>
      </c>
      <c r="W12" s="21" t="s">
        <v>271</v>
      </c>
      <c r="Y12" s="21" t="s">
        <v>13</v>
      </c>
    </row>
    <row r="13" spans="1:28" ht="13.5" customHeight="1" thickBot="1">
      <c r="A13" s="118" t="s">
        <v>14</v>
      </c>
      <c r="B13" s="122" t="s">
        <v>298</v>
      </c>
      <c r="S13" s="3" t="str">
        <f>+VLOOKUP(B6,$R$14:$S$42,2,0)</f>
        <v>14</v>
      </c>
      <c r="W13" s="3" t="str">
        <f>+VLOOKUP(B6,$U$14:$W$43,3,0)</f>
        <v>28</v>
      </c>
      <c r="Y13" s="53">
        <f>+VLOOKUP(B6,Y14:Z42,2,0)</f>
        <v>75</v>
      </c>
      <c r="AB13" s="21" t="s">
        <v>272</v>
      </c>
    </row>
    <row r="14" spans="1:28" ht="13.5" customHeight="1">
      <c r="A14" s="118" t="s">
        <v>15</v>
      </c>
      <c r="B14" s="122"/>
      <c r="R14" s="6" t="s">
        <v>16</v>
      </c>
      <c r="S14" s="7" t="s">
        <v>17</v>
      </c>
      <c r="U14" s="6" t="s">
        <v>16</v>
      </c>
      <c r="V14" s="6" t="s">
        <v>18</v>
      </c>
      <c r="W14" s="7" t="s">
        <v>19</v>
      </c>
      <c r="Y14" s="6" t="s">
        <v>16</v>
      </c>
      <c r="Z14" s="4">
        <v>64</v>
      </c>
      <c r="AB14" s="114">
        <v>1</v>
      </c>
    </row>
    <row r="15" spans="1:28" ht="13.5" customHeight="1">
      <c r="A15" s="118" t="s">
        <v>20</v>
      </c>
      <c r="B15" s="122"/>
      <c r="R15" s="8" t="s">
        <v>21</v>
      </c>
      <c r="S15" s="9" t="s">
        <v>22</v>
      </c>
      <c r="U15" s="8" t="s">
        <v>21</v>
      </c>
      <c r="V15" s="8" t="s">
        <v>23</v>
      </c>
      <c r="W15" s="9" t="s">
        <v>24</v>
      </c>
      <c r="Y15" s="8" t="s">
        <v>21</v>
      </c>
      <c r="Z15" s="5">
        <v>65</v>
      </c>
      <c r="AB15" s="47">
        <v>2</v>
      </c>
    </row>
    <row r="16" spans="1:28">
      <c r="A16" s="51"/>
      <c r="B16" s="52"/>
      <c r="R16" s="8" t="s">
        <v>25</v>
      </c>
      <c r="S16" s="9" t="s">
        <v>26</v>
      </c>
      <c r="U16" s="8" t="s">
        <v>25</v>
      </c>
      <c r="V16" s="8" t="s">
        <v>27</v>
      </c>
      <c r="W16" s="9" t="s">
        <v>28</v>
      </c>
      <c r="Y16" s="8" t="s">
        <v>25</v>
      </c>
      <c r="Z16" s="5">
        <v>66</v>
      </c>
      <c r="AB16" s="114">
        <v>3</v>
      </c>
    </row>
    <row r="17" spans="1:28" ht="12.95" hidden="1" customHeight="1">
      <c r="A17" s="25"/>
      <c r="B17" s="2"/>
      <c r="R17" s="8" t="s">
        <v>29</v>
      </c>
      <c r="S17" s="9" t="s">
        <v>30</v>
      </c>
      <c r="U17" s="8" t="s">
        <v>29</v>
      </c>
      <c r="V17" s="8" t="s">
        <v>31</v>
      </c>
      <c r="W17" s="9" t="s">
        <v>32</v>
      </c>
      <c r="Y17" s="8" t="s">
        <v>29</v>
      </c>
      <c r="Z17" s="5">
        <v>67</v>
      </c>
      <c r="AB17" s="47">
        <v>4</v>
      </c>
    </row>
    <row r="18" spans="1:28" ht="17.25" hidden="1" customHeight="1">
      <c r="A18" s="25"/>
      <c r="B18" s="25"/>
      <c r="C18" s="25"/>
      <c r="D18" s="25"/>
      <c r="E18" s="25"/>
      <c r="F18" s="25"/>
      <c r="R18" s="8" t="s">
        <v>33</v>
      </c>
      <c r="S18" s="9" t="s">
        <v>34</v>
      </c>
      <c r="U18" s="8" t="s">
        <v>33</v>
      </c>
      <c r="V18" s="8" t="s">
        <v>35</v>
      </c>
      <c r="W18" s="9" t="s">
        <v>36</v>
      </c>
      <c r="Y18" s="8" t="s">
        <v>33</v>
      </c>
      <c r="Z18" s="5">
        <v>68</v>
      </c>
      <c r="AB18" s="114">
        <v>5</v>
      </c>
    </row>
    <row r="19" spans="1:28" hidden="1">
      <c r="A19" s="25"/>
      <c r="R19" s="8" t="s">
        <v>37</v>
      </c>
      <c r="S19" s="9" t="s">
        <v>38</v>
      </c>
      <c r="U19" s="8" t="s">
        <v>37</v>
      </c>
      <c r="V19" s="8" t="s">
        <v>39</v>
      </c>
      <c r="W19" s="9" t="s">
        <v>40</v>
      </c>
      <c r="Y19" s="8" t="s">
        <v>37</v>
      </c>
      <c r="Z19" s="5">
        <v>69</v>
      </c>
      <c r="AB19" s="47">
        <v>6</v>
      </c>
    </row>
    <row r="20" spans="1:28" hidden="1">
      <c r="R20" s="8" t="s">
        <v>41</v>
      </c>
      <c r="S20" s="9" t="s">
        <v>42</v>
      </c>
      <c r="U20" s="8" t="s">
        <v>41</v>
      </c>
      <c r="V20" s="8" t="s">
        <v>43</v>
      </c>
      <c r="W20" s="9" t="s">
        <v>44</v>
      </c>
      <c r="Y20" s="8" t="s">
        <v>41</v>
      </c>
      <c r="Z20" s="5">
        <v>70</v>
      </c>
      <c r="AB20" s="114">
        <v>7</v>
      </c>
    </row>
    <row r="21" spans="1:28" hidden="1">
      <c r="A21" s="25"/>
      <c r="R21" s="8" t="s">
        <v>45</v>
      </c>
      <c r="S21" s="9" t="s">
        <v>46</v>
      </c>
      <c r="U21" s="8" t="s">
        <v>45</v>
      </c>
      <c r="V21" s="8" t="s">
        <v>47</v>
      </c>
      <c r="W21" s="9" t="s">
        <v>48</v>
      </c>
      <c r="Y21" s="8" t="s">
        <v>45</v>
      </c>
      <c r="Z21" s="5">
        <v>71</v>
      </c>
      <c r="AB21" s="47">
        <v>8</v>
      </c>
    </row>
    <row r="22" spans="1:28" hidden="1">
      <c r="A22" s="25"/>
      <c r="R22" s="8" t="s">
        <v>49</v>
      </c>
      <c r="S22" s="9" t="s">
        <v>50</v>
      </c>
      <c r="U22" s="8" t="s">
        <v>49</v>
      </c>
      <c r="V22" s="8" t="s">
        <v>51</v>
      </c>
      <c r="W22" s="9" t="s">
        <v>52</v>
      </c>
      <c r="Y22" s="8" t="s">
        <v>49</v>
      </c>
      <c r="Z22" s="5">
        <v>72</v>
      </c>
      <c r="AB22" s="114">
        <v>9</v>
      </c>
    </row>
    <row r="23" spans="1:28" hidden="1">
      <c r="A23" s="25"/>
      <c r="R23" s="8" t="s">
        <v>53</v>
      </c>
      <c r="S23" s="9" t="s">
        <v>54</v>
      </c>
      <c r="U23" s="8" t="s">
        <v>53</v>
      </c>
      <c r="V23" s="8" t="s">
        <v>55</v>
      </c>
      <c r="W23" s="9" t="s">
        <v>56</v>
      </c>
      <c r="Y23" s="8" t="s">
        <v>53</v>
      </c>
      <c r="Z23" s="5">
        <v>73</v>
      </c>
      <c r="AB23" s="47">
        <v>10</v>
      </c>
    </row>
    <row r="24" spans="1:28" hidden="1">
      <c r="A24" s="25"/>
      <c r="R24" s="8" t="s">
        <v>57</v>
      </c>
      <c r="S24" s="9" t="s">
        <v>58</v>
      </c>
      <c r="U24" s="8" t="s">
        <v>57</v>
      </c>
      <c r="V24" s="8" t="s">
        <v>59</v>
      </c>
      <c r="W24" s="9" t="s">
        <v>60</v>
      </c>
      <c r="Y24" s="8" t="s">
        <v>57</v>
      </c>
      <c r="Z24" s="5">
        <v>74</v>
      </c>
      <c r="AB24" s="114">
        <v>11</v>
      </c>
    </row>
    <row r="25" spans="1:28" hidden="1">
      <c r="A25" s="25"/>
      <c r="R25" s="8" t="s">
        <v>61</v>
      </c>
      <c r="S25" s="9" t="s">
        <v>62</v>
      </c>
      <c r="U25" s="8" t="s">
        <v>61</v>
      </c>
      <c r="V25" s="8" t="s">
        <v>63</v>
      </c>
      <c r="W25" s="9" t="s">
        <v>64</v>
      </c>
      <c r="Y25" s="8" t="s">
        <v>61</v>
      </c>
      <c r="Z25" s="5">
        <v>75</v>
      </c>
      <c r="AB25" s="115">
        <v>12</v>
      </c>
    </row>
    <row r="26" spans="1:28" hidden="1">
      <c r="A26" s="25"/>
      <c r="R26" s="8" t="s">
        <v>65</v>
      </c>
      <c r="S26" s="9" t="s">
        <v>66</v>
      </c>
      <c r="U26" s="8" t="s">
        <v>65</v>
      </c>
      <c r="V26" s="8" t="s">
        <v>67</v>
      </c>
      <c r="W26" s="9" t="s">
        <v>68</v>
      </c>
      <c r="Y26" s="8" t="s">
        <v>65</v>
      </c>
      <c r="Z26" s="5"/>
      <c r="AB26" s="47"/>
    </row>
    <row r="27" spans="1:28" hidden="1">
      <c r="A27" s="25"/>
      <c r="R27" s="8" t="s">
        <v>69</v>
      </c>
      <c r="S27" s="9" t="s">
        <v>70</v>
      </c>
      <c r="U27" s="8" t="s">
        <v>71</v>
      </c>
      <c r="V27" s="8" t="s">
        <v>71</v>
      </c>
      <c r="W27" s="9" t="s">
        <v>72</v>
      </c>
      <c r="Y27" s="8" t="s">
        <v>69</v>
      </c>
      <c r="Z27" s="5">
        <v>76</v>
      </c>
      <c r="AB27" s="47" t="s">
        <v>273</v>
      </c>
    </row>
    <row r="28" spans="1:28" hidden="1">
      <c r="A28" s="25"/>
      <c r="R28" s="8" t="s">
        <v>73</v>
      </c>
      <c r="S28" s="9" t="s">
        <v>74</v>
      </c>
      <c r="U28" s="8" t="s">
        <v>69</v>
      </c>
      <c r="V28" s="8" t="s">
        <v>75</v>
      </c>
      <c r="W28" s="9" t="s">
        <v>76</v>
      </c>
      <c r="Y28" s="8" t="s">
        <v>73</v>
      </c>
      <c r="Z28" s="5">
        <v>77</v>
      </c>
      <c r="AB28" s="47" t="s">
        <v>274</v>
      </c>
    </row>
    <row r="29" spans="1:28" hidden="1">
      <c r="A29" s="25"/>
      <c r="R29" s="8" t="s">
        <v>77</v>
      </c>
      <c r="S29" s="9" t="s">
        <v>78</v>
      </c>
      <c r="U29" s="8" t="s">
        <v>73</v>
      </c>
      <c r="V29" s="8" t="s">
        <v>79</v>
      </c>
      <c r="W29" s="9" t="s">
        <v>80</v>
      </c>
      <c r="Y29" s="8" t="s">
        <v>77</v>
      </c>
      <c r="Z29" s="5">
        <v>78</v>
      </c>
      <c r="AB29" s="47" t="s">
        <v>275</v>
      </c>
    </row>
    <row r="30" spans="1:28" hidden="1">
      <c r="A30" s="25"/>
      <c r="R30" s="8" t="s">
        <v>81</v>
      </c>
      <c r="S30" s="9" t="s">
        <v>82</v>
      </c>
      <c r="U30" s="8" t="s">
        <v>77</v>
      </c>
      <c r="V30" s="8" t="s">
        <v>83</v>
      </c>
      <c r="W30" s="9" t="s">
        <v>84</v>
      </c>
      <c r="Y30" s="8" t="s">
        <v>81</v>
      </c>
      <c r="Z30" s="5">
        <v>79</v>
      </c>
      <c r="AB30" s="47" t="s">
        <v>276</v>
      </c>
    </row>
    <row r="31" spans="1:28" hidden="1">
      <c r="A31" s="25"/>
      <c r="R31" s="8" t="s">
        <v>85</v>
      </c>
      <c r="S31" s="9" t="s">
        <v>86</v>
      </c>
      <c r="U31" s="8" t="s">
        <v>81</v>
      </c>
      <c r="V31" s="8" t="s">
        <v>87</v>
      </c>
      <c r="W31" s="9" t="s">
        <v>88</v>
      </c>
      <c r="Y31" s="8" t="s">
        <v>85</v>
      </c>
      <c r="Z31" s="5">
        <v>80</v>
      </c>
      <c r="AB31" s="47" t="s">
        <v>277</v>
      </c>
    </row>
    <row r="32" spans="1:28" hidden="1">
      <c r="A32" s="25"/>
      <c r="R32" s="8" t="s">
        <v>89</v>
      </c>
      <c r="S32" s="9" t="s">
        <v>90</v>
      </c>
      <c r="U32" s="8" t="s">
        <v>85</v>
      </c>
      <c r="V32" s="8" t="s">
        <v>91</v>
      </c>
      <c r="W32" s="9" t="s">
        <v>92</v>
      </c>
      <c r="Y32" s="8" t="s">
        <v>89</v>
      </c>
      <c r="Z32" s="5">
        <v>81</v>
      </c>
      <c r="AB32" s="47" t="s">
        <v>278</v>
      </c>
    </row>
    <row r="33" spans="1:28" hidden="1">
      <c r="A33" s="25"/>
      <c r="R33" s="8" t="s">
        <v>93</v>
      </c>
      <c r="S33" s="9" t="s">
        <v>94</v>
      </c>
      <c r="U33" s="8" t="s">
        <v>89</v>
      </c>
      <c r="V33" s="8" t="s">
        <v>95</v>
      </c>
      <c r="W33" s="9" t="s">
        <v>96</v>
      </c>
      <c r="Y33" s="8" t="s">
        <v>93</v>
      </c>
      <c r="Z33" s="5">
        <v>82</v>
      </c>
      <c r="AB33" s="47" t="s">
        <v>279</v>
      </c>
    </row>
    <row r="34" spans="1:28" hidden="1">
      <c r="A34" s="25"/>
      <c r="R34" s="8" t="s">
        <v>97</v>
      </c>
      <c r="S34" s="9" t="s">
        <v>98</v>
      </c>
      <c r="U34" s="8" t="s">
        <v>93</v>
      </c>
      <c r="V34" s="8" t="s">
        <v>99</v>
      </c>
      <c r="W34" s="9" t="s">
        <v>100</v>
      </c>
      <c r="Y34" s="8" t="s">
        <v>97</v>
      </c>
      <c r="Z34" s="5">
        <v>83</v>
      </c>
      <c r="AB34" s="47" t="s">
        <v>280</v>
      </c>
    </row>
    <row r="35" spans="1:28" hidden="1">
      <c r="A35" s="25"/>
      <c r="R35" s="8" t="s">
        <v>101</v>
      </c>
      <c r="S35" s="9" t="s">
        <v>102</v>
      </c>
      <c r="U35" s="8" t="s">
        <v>97</v>
      </c>
      <c r="V35" s="8" t="s">
        <v>103</v>
      </c>
      <c r="W35" s="9" t="s">
        <v>104</v>
      </c>
      <c r="Y35" s="8" t="s">
        <v>101</v>
      </c>
      <c r="Z35" s="5">
        <v>84</v>
      </c>
      <c r="AB35" s="47" t="s">
        <v>281</v>
      </c>
    </row>
    <row r="36" spans="1:28" hidden="1">
      <c r="A36" s="25"/>
      <c r="R36" s="8" t="s">
        <v>105</v>
      </c>
      <c r="S36" s="9" t="s">
        <v>106</v>
      </c>
      <c r="U36" s="8" t="s">
        <v>101</v>
      </c>
      <c r="V36" s="8" t="s">
        <v>107</v>
      </c>
      <c r="W36" s="9" t="s">
        <v>108</v>
      </c>
      <c r="Y36" s="8" t="s">
        <v>105</v>
      </c>
      <c r="Z36" s="5">
        <v>85</v>
      </c>
      <c r="AB36" s="47" t="s">
        <v>282</v>
      </c>
    </row>
    <row r="37" spans="1:28" hidden="1">
      <c r="A37" s="25"/>
      <c r="R37" s="8" t="s">
        <v>109</v>
      </c>
      <c r="S37" s="9" t="s">
        <v>110</v>
      </c>
      <c r="U37" s="8" t="s">
        <v>105</v>
      </c>
      <c r="V37" s="8" t="s">
        <v>111</v>
      </c>
      <c r="W37" s="9" t="s">
        <v>112</v>
      </c>
      <c r="Y37" s="8" t="s">
        <v>109</v>
      </c>
      <c r="Z37" s="5">
        <v>86</v>
      </c>
      <c r="AB37" s="47" t="s">
        <v>283</v>
      </c>
    </row>
    <row r="38" spans="1:28" hidden="1">
      <c r="A38" s="25"/>
      <c r="B38" s="25"/>
      <c r="R38" s="8" t="s">
        <v>113</v>
      </c>
      <c r="S38" s="9" t="s">
        <v>114</v>
      </c>
      <c r="U38" s="8" t="s">
        <v>109</v>
      </c>
      <c r="V38" s="8" t="s">
        <v>115</v>
      </c>
      <c r="W38" s="9" t="s">
        <v>116</v>
      </c>
      <c r="Y38" s="8" t="s">
        <v>113</v>
      </c>
      <c r="Z38" s="5">
        <v>87</v>
      </c>
      <c r="AB38" s="47" t="s">
        <v>284</v>
      </c>
    </row>
    <row r="39" spans="1:28" hidden="1">
      <c r="A39" s="25"/>
      <c r="R39" s="8" t="s">
        <v>117</v>
      </c>
      <c r="S39" s="9" t="s">
        <v>118</v>
      </c>
      <c r="U39" s="8" t="s">
        <v>113</v>
      </c>
      <c r="V39" s="8" t="s">
        <v>119</v>
      </c>
      <c r="W39" s="9" t="s">
        <v>120</v>
      </c>
      <c r="Y39" s="8" t="s">
        <v>117</v>
      </c>
      <c r="Z39" s="5">
        <v>88</v>
      </c>
      <c r="AB39" s="47" t="s">
        <v>285</v>
      </c>
    </row>
    <row r="40" spans="1:28" hidden="1">
      <c r="A40" s="25"/>
      <c r="R40" s="8" t="s">
        <v>121</v>
      </c>
      <c r="S40" s="9" t="s">
        <v>122</v>
      </c>
      <c r="U40" s="8" t="s">
        <v>117</v>
      </c>
      <c r="V40" s="8" t="s">
        <v>123</v>
      </c>
      <c r="W40" s="9" t="s">
        <v>124</v>
      </c>
      <c r="Y40" s="8" t="s">
        <v>121</v>
      </c>
      <c r="Z40" s="5">
        <v>89</v>
      </c>
      <c r="AB40" s="47" t="s">
        <v>286</v>
      </c>
    </row>
    <row r="41" spans="1:28" hidden="1">
      <c r="A41" s="25"/>
      <c r="R41" s="8" t="s">
        <v>125</v>
      </c>
      <c r="S41" s="9" t="s">
        <v>126</v>
      </c>
      <c r="U41" s="8" t="s">
        <v>121</v>
      </c>
      <c r="V41" s="8" t="s">
        <v>127</v>
      </c>
      <c r="W41" s="9" t="s">
        <v>128</v>
      </c>
      <c r="Y41" s="8" t="s">
        <v>125</v>
      </c>
      <c r="Z41" s="5">
        <v>90</v>
      </c>
      <c r="AB41" s="47" t="s">
        <v>287</v>
      </c>
    </row>
    <row r="42" spans="1:28" ht="15.75" hidden="1" thickBot="1">
      <c r="A42" s="25"/>
      <c r="R42" s="10" t="s">
        <v>129</v>
      </c>
      <c r="S42" s="11" t="s">
        <v>130</v>
      </c>
      <c r="U42" s="8" t="s">
        <v>125</v>
      </c>
      <c r="V42" s="8" t="s">
        <v>131</v>
      </c>
      <c r="W42" s="9" t="s">
        <v>132</v>
      </c>
      <c r="Y42" s="10" t="s">
        <v>129</v>
      </c>
      <c r="Z42" s="5">
        <v>91</v>
      </c>
      <c r="AB42" s="47"/>
    </row>
    <row r="43" spans="1:28" ht="15.75" hidden="1" thickBot="1">
      <c r="A43" s="25"/>
      <c r="U43" s="10" t="s">
        <v>129</v>
      </c>
      <c r="V43" s="10" t="s">
        <v>133</v>
      </c>
      <c r="W43" s="9" t="s">
        <v>134</v>
      </c>
    </row>
    <row r="44" spans="1:28" hidden="1">
      <c r="A44" s="25"/>
    </row>
    <row r="100"/>
    <row r="1048555" ht="39" hidden="1" customHeight="1"/>
    <row r="1048556" ht="17.25" hidden="1" customHeight="1"/>
    <row r="1048557" ht="44.25" hidden="1" customHeight="1"/>
    <row r="1048558" ht="21.75" hidden="1" customHeight="1"/>
    <row r="1048559" ht="30" hidden="1" customHeight="1"/>
    <row r="1048560" ht="15" hidden="1" customHeight="1"/>
    <row r="1048561" ht="18.75" hidden="1" customHeight="1"/>
    <row r="1048562" ht="33" hidden="1" customHeight="1"/>
    <row r="1048563" ht="42.75" hidden="1" customHeight="1"/>
    <row r="1048564" ht="20.25" hidden="1" customHeight="1"/>
    <row r="1048565" ht="32.25" hidden="1" customHeight="1"/>
    <row r="1048566" ht="26.25" hidden="1" customHeight="1"/>
    <row r="1048567" ht="24" hidden="1" customHeight="1"/>
    <row r="1048568" ht="24.75" hidden="1" customHeight="1"/>
    <row r="1048569" ht="23.25" hidden="1" customHeight="1"/>
    <row r="1048570" ht="27.75" hidden="1" customHeight="1"/>
    <row r="1048571" ht="19.5" hidden="1" customHeight="1"/>
    <row r="1048572" ht="21" hidden="1" customHeight="1"/>
    <row r="1048573" ht="22.5" hidden="1" customHeight="1"/>
    <row r="1048574" ht="18" hidden="1" customHeight="1"/>
    <row r="1048575" ht="17.25" hidden="1" customHeight="1"/>
    <row r="1048576" ht="0.75" hidden="1" customHeight="1"/>
  </sheetData>
  <mergeCells count="1">
    <mergeCell ref="A1:B1"/>
  </mergeCells>
  <pageMargins left="0.7" right="0.7" top="0.75" bottom="0.75" header="0.3" footer="0.3"/>
  <pageSetup orientation="portrait"/>
  <customProperties>
    <customPr name="OrphanNamesChecked" r:id="rId1"/>
  </customProperti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XFC14"/>
  <sheetViews>
    <sheetView showGridLines="0" showRowColHeaders="0" workbookViewId="0">
      <selection activeCell="J14" sqref="J14"/>
    </sheetView>
  </sheetViews>
  <sheetFormatPr baseColWidth="10" defaultColWidth="10.85546875" defaultRowHeight="15" zeroHeight="1"/>
  <cols>
    <col min="1" max="1" width="6.5703125" customWidth="1"/>
    <col min="2" max="2" width="11.140625" customWidth="1"/>
    <col min="3" max="3" width="8.85546875" customWidth="1"/>
    <col min="4" max="4" width="10.7109375" customWidth="1"/>
    <col min="5" max="5" width="14.28515625" customWidth="1"/>
    <col min="6" max="6" width="13.5703125" customWidth="1"/>
    <col min="7" max="7" width="8.140625" customWidth="1"/>
    <col min="8" max="8" width="10.5703125" customWidth="1"/>
    <col min="9" max="9" width="9.140625" customWidth="1"/>
    <col min="10" max="10" width="17.28515625" customWidth="1"/>
    <col min="11" max="11" width="2.85546875" customWidth="1"/>
    <col min="12" max="16380" width="10.85546875" hidden="1" customWidth="1"/>
    <col min="16381" max="16381" width="0.7109375" hidden="1" customWidth="1"/>
    <col min="16382" max="16382" width="0.85546875" hidden="1" customWidth="1"/>
    <col min="16383" max="16383" width="0.42578125" hidden="1" customWidth="1"/>
    <col min="16384" max="16384" width="1" hidden="1" customWidth="1"/>
  </cols>
  <sheetData>
    <row r="1" spans="2:11" ht="15" customHeight="1">
      <c r="G1" s="331" t="str">
        <f>+"PAPELES DE TRABAJO DECLARACIÓN DE  "&amp;Admin!B4&amp;" DE INDUSTRIA Y COMERCIO MUNICIPIO DE "&amp;Admin!$B$8&amp;" DE LA COMPAÑÍA "&amp;Admin!$B$3</f>
        <v>PAPELES DE TRABAJO DECLARACIÓN DE  ICA DE INDUSTRIA Y COMERCIO MUNICIPIO DE CIENAGA-MAGDALENA-47189 DE LA COMPAÑÍA GRUPO ENERGIA BOGOTÄ SA ESP</v>
      </c>
      <c r="H1" s="331"/>
      <c r="I1" s="331"/>
      <c r="J1" s="331"/>
      <c r="K1" s="118"/>
    </row>
    <row r="2" spans="2:11" ht="18" customHeight="1">
      <c r="B2" s="22"/>
      <c r="C2" s="22"/>
      <c r="D2" s="22"/>
      <c r="E2" s="22"/>
      <c r="F2" s="50"/>
      <c r="G2" s="331"/>
      <c r="H2" s="331"/>
      <c r="I2" s="331"/>
      <c r="J2" s="331"/>
      <c r="K2" s="118"/>
    </row>
    <row r="3" spans="2:11" ht="21.95" customHeight="1">
      <c r="C3" s="50"/>
      <c r="D3" s="50"/>
      <c r="E3" s="50"/>
      <c r="F3" s="50"/>
      <c r="G3" s="331"/>
      <c r="H3" s="331"/>
      <c r="I3" s="331"/>
      <c r="J3" s="331"/>
      <c r="K3" s="118"/>
    </row>
    <row r="4" spans="2:11" ht="18.95" customHeight="1">
      <c r="B4" s="50"/>
      <c r="C4" s="50"/>
      <c r="D4" s="50"/>
      <c r="E4" s="50"/>
      <c r="F4" s="50"/>
      <c r="G4" s="331"/>
      <c r="H4" s="331"/>
      <c r="I4" s="331"/>
      <c r="J4" s="331"/>
      <c r="K4" s="118"/>
    </row>
    <row r="5" spans="2:11" ht="18.95" customHeight="1">
      <c r="B5" s="22"/>
      <c r="C5" s="22"/>
      <c r="D5" s="22"/>
      <c r="E5" s="22"/>
      <c r="F5" s="22"/>
      <c r="G5" s="331"/>
      <c r="H5" s="331"/>
      <c r="I5" s="331"/>
      <c r="J5" s="331"/>
      <c r="K5" s="118"/>
    </row>
    <row r="6" spans="2:11" ht="16.5" customHeight="1">
      <c r="B6" s="22"/>
      <c r="C6" s="22"/>
      <c r="G6" s="331"/>
      <c r="H6" s="331"/>
      <c r="I6" s="331"/>
      <c r="J6" s="331"/>
      <c r="K6" s="118"/>
    </row>
    <row r="7" spans="2:11" ht="15.6" customHeight="1">
      <c r="B7" s="42"/>
      <c r="C7" s="22"/>
      <c r="D7" s="22"/>
      <c r="G7" s="331"/>
      <c r="H7" s="331"/>
      <c r="I7" s="331"/>
      <c r="J7" s="331"/>
      <c r="K7" s="118"/>
    </row>
    <row r="8" spans="2:11" ht="20.45" customHeight="1">
      <c r="G8" s="330"/>
      <c r="H8" s="330"/>
      <c r="I8" s="330"/>
      <c r="J8" s="330"/>
      <c r="K8" s="118"/>
    </row>
    <row r="9" spans="2:11" ht="21.6" customHeight="1">
      <c r="G9" s="330" t="str">
        <f>+Admin!B6</f>
        <v>DICIEMBRE</v>
      </c>
      <c r="H9" s="330"/>
      <c r="I9" s="330"/>
      <c r="J9" s="330"/>
      <c r="K9" s="118"/>
    </row>
    <row r="10" spans="2:11" ht="24.95" customHeight="1">
      <c r="G10" s="118"/>
      <c r="H10" s="118"/>
      <c r="I10" s="118"/>
      <c r="J10" s="118"/>
      <c r="K10" s="118"/>
    </row>
    <row r="11" spans="2:11" ht="24" customHeight="1">
      <c r="G11" s="118"/>
      <c r="H11" s="118"/>
      <c r="I11" s="118"/>
      <c r="J11" s="118"/>
      <c r="K11" s="118"/>
    </row>
    <row r="12" spans="2:11" ht="20.100000000000001" customHeight="1">
      <c r="G12" s="118"/>
      <c r="H12" s="118"/>
      <c r="I12" s="118"/>
      <c r="J12" s="118"/>
      <c r="K12" s="118"/>
    </row>
    <row r="13" spans="2:11" ht="22.5" customHeight="1">
      <c r="G13" s="118"/>
      <c r="H13" s="118"/>
      <c r="I13" s="118"/>
      <c r="J13" s="118"/>
      <c r="K13" s="118"/>
    </row>
    <row r="14" spans="2:11" ht="23.25" customHeight="1">
      <c r="G14" s="118"/>
      <c r="H14" s="118"/>
      <c r="I14" s="118"/>
      <c r="J14" s="118"/>
      <c r="K14" s="118"/>
    </row>
  </sheetData>
  <sheetProtection algorithmName="SHA-512" hashValue="0irwuSaw+YJcDoh2Tf6i0kYpICT2InIWdf8IEEXI+u7v4I+yuBI0CvbIGaCvVTm7OWCn9Y1VHp5Zg2d7ceHQlg==" saltValue="4Wbh5Hu6RsiGFpNUrTaPgw==" spinCount="100000" sheet="1" objects="1" scenarios="1"/>
  <mergeCells count="3">
    <mergeCell ref="G9:J9"/>
    <mergeCell ref="G1:J7"/>
    <mergeCell ref="G8:J8"/>
  </mergeCells>
  <pageMargins left="0.7" right="0.7" top="0.75" bottom="0.75" header="0.3" footer="0.3"/>
  <pageSetup paperSize="9" orientation="portrait" r:id="rId1"/>
  <customProperties>
    <customPr name="OrphanNamesChecked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C756A-ABE1-4DCF-9EC3-0B0C9C3A5D0F}">
  <sheetPr codeName="Hoja33"/>
  <dimension ref="A1:XFC81"/>
  <sheetViews>
    <sheetView showGridLines="0" showRowColHeaders="0" tabSelected="1" zoomScale="98" zoomScaleNormal="98" zoomScaleSheetLayoutView="89" workbookViewId="0">
      <selection activeCell="AB15" sqref="AB15:AF15"/>
    </sheetView>
  </sheetViews>
  <sheetFormatPr baseColWidth="10" defaultColWidth="0" defaultRowHeight="15" zeroHeight="1"/>
  <cols>
    <col min="1" max="1" width="4.42578125" customWidth="1"/>
    <col min="2" max="3" width="3.140625" style="12" customWidth="1"/>
    <col min="4" max="4" width="3.85546875" style="12" customWidth="1"/>
    <col min="5" max="5" width="3.140625" style="12" customWidth="1"/>
    <col min="6" max="10" width="3.42578125" style="12" customWidth="1"/>
    <col min="11" max="11" width="8.42578125" style="12" customWidth="1"/>
    <col min="12" max="12" width="3.42578125" style="12" customWidth="1"/>
    <col min="13" max="13" width="8.28515625" style="12" customWidth="1"/>
    <col min="14" max="14" width="2.28515625" style="12" customWidth="1"/>
    <col min="15" max="20" width="3.140625" style="12" customWidth="1"/>
    <col min="21" max="21" width="3.85546875" style="12" customWidth="1"/>
    <col min="22" max="22" width="4.5703125" style="12" customWidth="1"/>
    <col min="23" max="23" width="5.140625" style="12" customWidth="1"/>
    <col min="24" max="24" width="5.5703125" style="12" customWidth="1"/>
    <col min="25" max="25" width="13.42578125" style="12" customWidth="1"/>
    <col min="26" max="26" width="3.28515625" style="12" customWidth="1"/>
    <col min="27" max="27" width="3.85546875" style="12" customWidth="1"/>
    <col min="28" max="29" width="5" style="12" customWidth="1"/>
    <col min="30" max="30" width="3.85546875" style="12" customWidth="1"/>
    <col min="31" max="32" width="5" style="12" customWidth="1"/>
    <col min="33" max="33" width="5.7109375" bestFit="1" customWidth="1"/>
    <col min="34" max="16383" width="11.42578125" hidden="1"/>
    <col min="16384" max="16384" width="2.7109375" customWidth="1"/>
  </cols>
  <sheetData>
    <row r="1" spans="1:33" ht="15.75" thickBot="1">
      <c r="A1" s="22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22"/>
    </row>
    <row r="2" spans="1:33">
      <c r="A2" s="22"/>
      <c r="B2" s="139" t="s">
        <v>300</v>
      </c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1"/>
      <c r="AG2" s="22"/>
    </row>
    <row r="3" spans="1:33">
      <c r="A3" s="22"/>
      <c r="B3" s="142" t="s">
        <v>135</v>
      </c>
      <c r="C3" s="143"/>
      <c r="D3" s="143"/>
      <c r="E3" s="143"/>
      <c r="F3" s="143"/>
      <c r="G3" s="144" t="s">
        <v>257</v>
      </c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5"/>
      <c r="Z3" s="146" t="s">
        <v>136</v>
      </c>
      <c r="AA3" s="147"/>
      <c r="AB3" s="147"/>
      <c r="AC3" s="147"/>
      <c r="AD3" s="147"/>
      <c r="AE3" s="147"/>
      <c r="AF3" s="148"/>
      <c r="AG3" s="22"/>
    </row>
    <row r="4" spans="1:33">
      <c r="A4" s="22"/>
      <c r="B4" s="142" t="s">
        <v>137</v>
      </c>
      <c r="C4" s="143"/>
      <c r="D4" s="143"/>
      <c r="E4" s="143"/>
      <c r="F4" s="149"/>
      <c r="G4" s="144" t="s">
        <v>255</v>
      </c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5"/>
      <c r="Z4" s="150">
        <v>0</v>
      </c>
      <c r="AA4" s="151"/>
      <c r="AB4" s="151"/>
      <c r="AC4" s="151"/>
      <c r="AD4" s="151"/>
      <c r="AE4" s="151"/>
      <c r="AF4" s="152"/>
      <c r="AG4" s="22"/>
    </row>
    <row r="5" spans="1:33">
      <c r="A5" s="22"/>
      <c r="B5" s="123" t="s">
        <v>138</v>
      </c>
      <c r="C5" s="124"/>
      <c r="D5" s="124"/>
      <c r="E5" s="127">
        <v>2025</v>
      </c>
      <c r="F5" s="127"/>
      <c r="G5" s="128"/>
      <c r="H5" s="128"/>
      <c r="I5" s="26"/>
      <c r="J5" s="26"/>
      <c r="K5" s="14"/>
      <c r="L5" s="14"/>
      <c r="M5" s="14"/>
      <c r="N5" s="14"/>
      <c r="O5" s="14"/>
      <c r="P5" s="129" t="s">
        <v>139</v>
      </c>
      <c r="Q5" s="129"/>
      <c r="R5" s="129"/>
      <c r="S5" s="129"/>
      <c r="T5" s="129"/>
      <c r="U5" s="129"/>
      <c r="V5" s="129"/>
      <c r="W5" s="129"/>
      <c r="X5" s="129"/>
      <c r="Y5" s="129"/>
      <c r="Z5" s="67" t="s">
        <v>140</v>
      </c>
      <c r="AA5" s="67" t="s">
        <v>141</v>
      </c>
      <c r="AB5" s="67" t="s">
        <v>142</v>
      </c>
      <c r="AC5" s="67" t="s">
        <v>143</v>
      </c>
      <c r="AD5" s="67" t="s">
        <v>144</v>
      </c>
      <c r="AE5" s="67" t="s">
        <v>145</v>
      </c>
      <c r="AF5" s="27" t="s">
        <v>129</v>
      </c>
      <c r="AG5" s="22"/>
    </row>
    <row r="6" spans="1:33" ht="13.5" customHeight="1">
      <c r="A6" s="22"/>
      <c r="B6" s="125"/>
      <c r="C6" s="126"/>
      <c r="D6" s="126"/>
      <c r="E6" s="128"/>
      <c r="F6" s="128"/>
      <c r="G6" s="128"/>
      <c r="H6" s="128"/>
      <c r="I6" s="26" t="s">
        <v>61</v>
      </c>
      <c r="J6" s="26"/>
      <c r="K6" s="14"/>
      <c r="L6" s="14"/>
      <c r="M6" s="14"/>
      <c r="N6" s="14"/>
      <c r="O6" s="14"/>
      <c r="P6" s="14"/>
      <c r="Q6" s="28"/>
      <c r="R6" s="14"/>
      <c r="S6" s="29"/>
      <c r="T6" s="29"/>
      <c r="U6" s="29"/>
      <c r="V6" s="29"/>
      <c r="W6" s="29"/>
      <c r="X6" s="29"/>
      <c r="Y6" s="29"/>
      <c r="Z6" s="68" t="s">
        <v>301</v>
      </c>
      <c r="AA6" s="68" t="s">
        <v>301</v>
      </c>
      <c r="AB6" s="68" t="s">
        <v>301</v>
      </c>
      <c r="AC6" s="68" t="s">
        <v>301</v>
      </c>
      <c r="AD6" s="68" t="s">
        <v>301</v>
      </c>
      <c r="AE6" s="68" t="s">
        <v>301</v>
      </c>
      <c r="AF6" s="30" t="s">
        <v>301</v>
      </c>
      <c r="AG6" s="22"/>
    </row>
    <row r="7" spans="1:33" ht="19.5" customHeight="1">
      <c r="A7" s="22"/>
      <c r="B7" s="130" t="s">
        <v>146</v>
      </c>
      <c r="C7" s="131"/>
      <c r="D7" s="131"/>
      <c r="E7" s="132" t="s">
        <v>147</v>
      </c>
      <c r="F7" s="132"/>
      <c r="G7" s="132"/>
      <c r="H7" s="132"/>
      <c r="I7" s="69" t="s">
        <v>148</v>
      </c>
      <c r="J7" s="68" t="s">
        <v>149</v>
      </c>
      <c r="K7" s="70"/>
      <c r="L7" s="71"/>
      <c r="M7" s="70" t="s">
        <v>150</v>
      </c>
      <c r="N7" s="72"/>
      <c r="O7" s="71"/>
      <c r="P7" s="133" t="s">
        <v>151</v>
      </c>
      <c r="Q7" s="134"/>
      <c r="R7" s="134"/>
      <c r="S7" s="134"/>
      <c r="T7" s="134"/>
      <c r="U7" s="134"/>
      <c r="V7" s="135"/>
      <c r="W7" s="136"/>
      <c r="X7" s="137"/>
      <c r="Y7" s="137"/>
      <c r="Z7" s="138"/>
      <c r="AA7" s="153" t="s">
        <v>152</v>
      </c>
      <c r="AB7" s="154"/>
      <c r="AC7" s="155"/>
      <c r="AD7" s="43"/>
      <c r="AE7" s="44"/>
      <c r="AF7" s="45"/>
      <c r="AG7" s="22"/>
    </row>
    <row r="8" spans="1:33" ht="15" customHeight="1">
      <c r="A8" s="22"/>
      <c r="B8" s="156" t="s">
        <v>153</v>
      </c>
      <c r="C8" s="157"/>
      <c r="D8" s="73">
        <v>1</v>
      </c>
      <c r="E8" s="31" t="s">
        <v>154</v>
      </c>
      <c r="F8" s="46"/>
      <c r="G8" s="46"/>
      <c r="H8" s="46"/>
      <c r="I8" s="32"/>
      <c r="J8" s="46"/>
      <c r="K8" s="46"/>
      <c r="L8" s="162" t="s">
        <v>295</v>
      </c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3"/>
      <c r="AA8" s="163"/>
      <c r="AB8" s="163"/>
      <c r="AC8" s="163"/>
      <c r="AD8" s="163"/>
      <c r="AE8" s="163"/>
      <c r="AF8" s="164"/>
      <c r="AG8" s="22"/>
    </row>
    <row r="9" spans="1:33" ht="18" customHeight="1">
      <c r="A9" s="22"/>
      <c r="B9" s="158"/>
      <c r="C9" s="159"/>
      <c r="D9" s="73">
        <v>2</v>
      </c>
      <c r="E9" s="77" t="s">
        <v>155</v>
      </c>
      <c r="F9" s="88"/>
      <c r="G9" s="76" t="s">
        <v>156</v>
      </c>
      <c r="H9" s="88" t="s">
        <v>157</v>
      </c>
      <c r="I9" s="76" t="s">
        <v>158</v>
      </c>
      <c r="J9" s="88"/>
      <c r="K9" s="76" t="s">
        <v>159</v>
      </c>
      <c r="L9" s="88"/>
      <c r="M9" s="89" t="s">
        <v>160</v>
      </c>
      <c r="N9" s="165">
        <v>899999082</v>
      </c>
      <c r="O9" s="166"/>
      <c r="P9" s="166"/>
      <c r="Q9" s="166"/>
      <c r="R9" s="166"/>
      <c r="S9" s="167"/>
      <c r="T9" s="90" t="s">
        <v>161</v>
      </c>
      <c r="U9" s="91">
        <v>3</v>
      </c>
      <c r="V9" s="133" t="s">
        <v>162</v>
      </c>
      <c r="W9" s="134"/>
      <c r="X9" s="135"/>
      <c r="Y9" s="88"/>
      <c r="Z9" s="133" t="s">
        <v>163</v>
      </c>
      <c r="AA9" s="134"/>
      <c r="AB9" s="134"/>
      <c r="AC9" s="134"/>
      <c r="AD9" s="134"/>
      <c r="AE9" s="135"/>
      <c r="AF9" s="92"/>
      <c r="AG9" s="22"/>
    </row>
    <row r="10" spans="1:33">
      <c r="A10" s="22"/>
      <c r="B10" s="158"/>
      <c r="C10" s="159"/>
      <c r="D10" s="33">
        <v>3</v>
      </c>
      <c r="E10" s="93" t="s">
        <v>164</v>
      </c>
      <c r="F10" s="94"/>
      <c r="G10" s="94"/>
      <c r="H10" s="94"/>
      <c r="I10" s="94"/>
      <c r="J10" s="94"/>
      <c r="K10" s="162" t="s">
        <v>293</v>
      </c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  <c r="AC10" s="163"/>
      <c r="AD10" s="163"/>
      <c r="AE10" s="163"/>
      <c r="AF10" s="164"/>
      <c r="AG10" s="22"/>
    </row>
    <row r="11" spans="1:33">
      <c r="A11" s="22"/>
      <c r="B11" s="158"/>
      <c r="C11" s="159"/>
      <c r="D11" s="34"/>
      <c r="E11" s="15" t="s">
        <v>165</v>
      </c>
      <c r="F11" s="95"/>
      <c r="G11" s="95"/>
      <c r="H11" s="95"/>
      <c r="I11" s="95"/>
      <c r="J11" s="95"/>
      <c r="K11" s="95"/>
      <c r="L11" s="95"/>
      <c r="M11" s="96"/>
      <c r="N11" s="97" t="s">
        <v>256</v>
      </c>
      <c r="O11" s="97"/>
      <c r="P11" s="97"/>
      <c r="Q11" s="97"/>
      <c r="R11" s="97"/>
      <c r="S11" s="97"/>
      <c r="T11" s="97"/>
      <c r="U11" s="98"/>
      <c r="V11" s="15" t="s">
        <v>166</v>
      </c>
      <c r="W11" s="95"/>
      <c r="X11" s="95"/>
      <c r="Y11" s="95"/>
      <c r="Z11" s="97" t="s">
        <v>256</v>
      </c>
      <c r="AA11" s="97"/>
      <c r="AB11" s="97"/>
      <c r="AC11" s="97"/>
      <c r="AD11" s="97"/>
      <c r="AE11" s="97"/>
      <c r="AF11" s="99"/>
      <c r="AG11" s="22"/>
    </row>
    <row r="12" spans="1:33">
      <c r="A12" s="22"/>
      <c r="B12" s="158"/>
      <c r="C12" s="159"/>
      <c r="D12" s="33">
        <v>4</v>
      </c>
      <c r="E12" s="100" t="s">
        <v>167</v>
      </c>
      <c r="F12" s="95"/>
      <c r="G12" s="95"/>
      <c r="H12" s="101"/>
      <c r="I12" s="102"/>
      <c r="J12" s="103" t="s">
        <v>168</v>
      </c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5"/>
      <c r="V12" s="100" t="s">
        <v>169</v>
      </c>
      <c r="W12" s="95"/>
      <c r="X12" s="95"/>
      <c r="Y12" s="95"/>
      <c r="Z12" s="95"/>
      <c r="AA12" s="106"/>
      <c r="AB12" s="100" t="s">
        <v>170</v>
      </c>
      <c r="AC12" s="95"/>
      <c r="AD12" s="95"/>
      <c r="AE12" s="95"/>
      <c r="AF12" s="112"/>
      <c r="AG12" s="22"/>
    </row>
    <row r="13" spans="1:33">
      <c r="A13" s="22"/>
      <c r="B13" s="160"/>
      <c r="C13" s="161"/>
      <c r="D13" s="34"/>
      <c r="E13" s="162">
        <v>3268000</v>
      </c>
      <c r="F13" s="163"/>
      <c r="G13" s="163"/>
      <c r="H13" s="163"/>
      <c r="I13" s="163"/>
      <c r="J13" s="107" t="s">
        <v>294</v>
      </c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9"/>
      <c r="V13" s="162">
        <v>0</v>
      </c>
      <c r="W13" s="163"/>
      <c r="X13" s="163"/>
      <c r="Y13" s="163"/>
      <c r="Z13" s="163"/>
      <c r="AA13" s="168"/>
      <c r="AB13" s="110" t="s">
        <v>290</v>
      </c>
      <c r="AC13" s="111"/>
      <c r="AD13" s="111"/>
      <c r="AE13" s="111"/>
      <c r="AF13" s="113"/>
      <c r="AG13" s="22"/>
    </row>
    <row r="14" spans="1:33" ht="15" customHeight="1">
      <c r="A14" s="22"/>
      <c r="B14" s="156" t="s">
        <v>171</v>
      </c>
      <c r="C14" s="157"/>
      <c r="D14" s="74">
        <v>8</v>
      </c>
      <c r="E14" s="172" t="s">
        <v>172</v>
      </c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  <c r="W14" s="173"/>
      <c r="X14" s="173"/>
      <c r="Y14" s="173"/>
      <c r="Z14" s="173"/>
      <c r="AA14" s="174"/>
      <c r="AB14" s="178">
        <v>5592372819000</v>
      </c>
      <c r="AC14" s="179"/>
      <c r="AD14" s="179"/>
      <c r="AE14" s="179"/>
      <c r="AF14" s="180"/>
      <c r="AG14" s="22"/>
    </row>
    <row r="15" spans="1:33">
      <c r="A15" s="22"/>
      <c r="B15" s="158"/>
      <c r="C15" s="159"/>
      <c r="D15" s="74">
        <v>9</v>
      </c>
      <c r="E15" s="181" t="s">
        <v>173</v>
      </c>
      <c r="F15" s="182"/>
      <c r="G15" s="182"/>
      <c r="H15" s="182"/>
      <c r="I15" s="182"/>
      <c r="J15" s="182"/>
      <c r="K15" s="182"/>
      <c r="L15" s="182"/>
      <c r="M15" s="182"/>
      <c r="N15" s="182"/>
      <c r="O15" s="182"/>
      <c r="P15" s="182"/>
      <c r="Q15" s="182"/>
      <c r="R15" s="182"/>
      <c r="S15" s="182"/>
      <c r="T15" s="182"/>
      <c r="U15" s="182"/>
      <c r="V15" s="182"/>
      <c r="W15" s="182"/>
      <c r="X15" s="182"/>
      <c r="Y15" s="182"/>
      <c r="Z15" s="182"/>
      <c r="AA15" s="183"/>
      <c r="AB15" s="178">
        <v>5585128169000</v>
      </c>
      <c r="AC15" s="179"/>
      <c r="AD15" s="179"/>
      <c r="AE15" s="179"/>
      <c r="AF15" s="180"/>
      <c r="AG15" s="22"/>
    </row>
    <row r="16" spans="1:33">
      <c r="A16" s="22"/>
      <c r="B16" s="158"/>
      <c r="C16" s="159"/>
      <c r="D16" s="74">
        <v>10</v>
      </c>
      <c r="E16" s="172" t="s">
        <v>174</v>
      </c>
      <c r="F16" s="173"/>
      <c r="G16" s="173"/>
      <c r="H16" s="173"/>
      <c r="I16" s="173"/>
      <c r="J16" s="173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  <c r="W16" s="173"/>
      <c r="X16" s="173"/>
      <c r="Y16" s="173"/>
      <c r="Z16" s="173"/>
      <c r="AA16" s="174"/>
      <c r="AB16" s="184">
        <v>7244650000</v>
      </c>
      <c r="AC16" s="185"/>
      <c r="AD16" s="185"/>
      <c r="AE16" s="185"/>
      <c r="AF16" s="186"/>
      <c r="AG16" s="22"/>
    </row>
    <row r="17" spans="1:33">
      <c r="A17" s="22"/>
      <c r="B17" s="158"/>
      <c r="C17" s="159"/>
      <c r="D17" s="74">
        <v>11</v>
      </c>
      <c r="E17" s="172" t="s">
        <v>175</v>
      </c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4"/>
      <c r="AB17" s="184">
        <v>0</v>
      </c>
      <c r="AC17" s="185"/>
      <c r="AD17" s="185"/>
      <c r="AE17" s="185"/>
      <c r="AF17" s="186"/>
      <c r="AG17" s="48"/>
    </row>
    <row r="18" spans="1:33">
      <c r="A18" s="22"/>
      <c r="B18" s="158"/>
      <c r="C18" s="159"/>
      <c r="D18" s="74">
        <v>12</v>
      </c>
      <c r="E18" s="172" t="s">
        <v>176</v>
      </c>
      <c r="F18" s="173"/>
      <c r="G18" s="173"/>
      <c r="H18" s="173"/>
      <c r="I18" s="173"/>
      <c r="J18" s="173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3"/>
      <c r="W18" s="173"/>
      <c r="X18" s="173"/>
      <c r="Y18" s="173"/>
      <c r="Z18" s="173"/>
      <c r="AA18" s="174"/>
      <c r="AB18" s="169">
        <v>0</v>
      </c>
      <c r="AC18" s="170"/>
      <c r="AD18" s="170"/>
      <c r="AE18" s="170"/>
      <c r="AF18" s="171"/>
      <c r="AG18" s="22"/>
    </row>
    <row r="19" spans="1:33">
      <c r="A19" s="22"/>
      <c r="B19" s="158"/>
      <c r="C19" s="159"/>
      <c r="D19" s="74">
        <v>13</v>
      </c>
      <c r="E19" s="172" t="s">
        <v>177</v>
      </c>
      <c r="F19" s="173"/>
      <c r="G19" s="173"/>
      <c r="H19" s="173"/>
      <c r="I19" s="173"/>
      <c r="J19" s="173"/>
      <c r="K19" s="173"/>
      <c r="L19" s="173"/>
      <c r="M19" s="173"/>
      <c r="N19" s="173"/>
      <c r="O19" s="173"/>
      <c r="P19" s="173"/>
      <c r="Q19" s="173"/>
      <c r="R19" s="173"/>
      <c r="S19" s="173"/>
      <c r="T19" s="173"/>
      <c r="U19" s="173"/>
      <c r="V19" s="173"/>
      <c r="W19" s="173"/>
      <c r="X19" s="173"/>
      <c r="Y19" s="173"/>
      <c r="Z19" s="173"/>
      <c r="AA19" s="174"/>
      <c r="AB19" s="175">
        <v>0</v>
      </c>
      <c r="AC19" s="176"/>
      <c r="AD19" s="176"/>
      <c r="AE19" s="176"/>
      <c r="AF19" s="177"/>
      <c r="AG19" s="22"/>
    </row>
    <row r="20" spans="1:33">
      <c r="A20" s="22"/>
      <c r="B20" s="158"/>
      <c r="C20" s="159"/>
      <c r="D20" s="74">
        <v>14</v>
      </c>
      <c r="E20" s="172" t="s">
        <v>178</v>
      </c>
      <c r="F20" s="173"/>
      <c r="G20" s="173"/>
      <c r="H20" s="173"/>
      <c r="I20" s="173"/>
      <c r="J20" s="173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  <c r="W20" s="173"/>
      <c r="X20" s="173"/>
      <c r="Y20" s="173"/>
      <c r="Z20" s="173"/>
      <c r="AA20" s="174"/>
      <c r="AB20" s="175">
        <v>0</v>
      </c>
      <c r="AC20" s="176"/>
      <c r="AD20" s="176"/>
      <c r="AE20" s="176"/>
      <c r="AF20" s="177"/>
      <c r="AG20" s="22"/>
    </row>
    <row r="21" spans="1:33">
      <c r="A21" s="22"/>
      <c r="B21" s="158"/>
      <c r="C21" s="159"/>
      <c r="D21" s="74">
        <v>15</v>
      </c>
      <c r="E21" s="172" t="s">
        <v>179</v>
      </c>
      <c r="F21" s="173"/>
      <c r="G21" s="173"/>
      <c r="H21" s="173"/>
      <c r="I21" s="173"/>
      <c r="J21" s="173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  <c r="W21" s="173"/>
      <c r="X21" s="173"/>
      <c r="Y21" s="173"/>
      <c r="Z21" s="173"/>
      <c r="AA21" s="174"/>
      <c r="AB21" s="169">
        <v>0</v>
      </c>
      <c r="AC21" s="170"/>
      <c r="AD21" s="170"/>
      <c r="AE21" s="170"/>
      <c r="AF21" s="171"/>
      <c r="AG21" s="22"/>
    </row>
    <row r="22" spans="1:33">
      <c r="A22" s="22"/>
      <c r="B22" s="160"/>
      <c r="C22" s="161"/>
      <c r="D22" s="74">
        <v>16</v>
      </c>
      <c r="E22" s="172" t="s">
        <v>180</v>
      </c>
      <c r="F22" s="173"/>
      <c r="G22" s="173"/>
      <c r="H22" s="173"/>
      <c r="I22" s="173"/>
      <c r="J22" s="173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  <c r="W22" s="173"/>
      <c r="X22" s="173"/>
      <c r="Y22" s="173"/>
      <c r="Z22" s="173"/>
      <c r="AA22" s="174"/>
      <c r="AB22" s="175">
        <v>7244650000</v>
      </c>
      <c r="AC22" s="176"/>
      <c r="AD22" s="176"/>
      <c r="AE22" s="176"/>
      <c r="AF22" s="177"/>
      <c r="AG22" s="22"/>
    </row>
    <row r="23" spans="1:33" ht="15" customHeight="1">
      <c r="A23" s="22"/>
      <c r="B23" s="156" t="s">
        <v>181</v>
      </c>
      <c r="C23" s="157"/>
      <c r="D23" s="35" t="s">
        <v>182</v>
      </c>
      <c r="E23" s="36"/>
      <c r="F23" s="36"/>
      <c r="G23" s="36"/>
      <c r="H23" s="36"/>
      <c r="I23" s="36"/>
      <c r="J23" s="37"/>
      <c r="K23" s="35" t="s">
        <v>183</v>
      </c>
      <c r="L23" s="36"/>
      <c r="M23" s="36"/>
      <c r="N23" s="37"/>
      <c r="O23" s="35" t="s">
        <v>184</v>
      </c>
      <c r="P23" s="36"/>
      <c r="Q23" s="36"/>
      <c r="R23" s="36"/>
      <c r="S23" s="36"/>
      <c r="T23" s="36"/>
      <c r="U23" s="36"/>
      <c r="V23" s="37"/>
      <c r="W23" s="35" t="s">
        <v>185</v>
      </c>
      <c r="X23" s="36"/>
      <c r="Y23" s="36"/>
      <c r="Z23" s="36"/>
      <c r="AA23" s="37"/>
      <c r="AB23" s="187" t="s">
        <v>186</v>
      </c>
      <c r="AC23" s="188"/>
      <c r="AD23" s="188"/>
      <c r="AE23" s="188"/>
      <c r="AF23" s="189"/>
      <c r="AG23" s="22"/>
    </row>
    <row r="24" spans="1:33">
      <c r="A24" s="22"/>
      <c r="B24" s="158"/>
      <c r="C24" s="159"/>
      <c r="D24" s="190" t="s">
        <v>187</v>
      </c>
      <c r="E24" s="191"/>
      <c r="F24" s="191"/>
      <c r="G24" s="191"/>
      <c r="H24" s="191"/>
      <c r="I24" s="191"/>
      <c r="J24" s="192"/>
      <c r="K24" s="193">
        <v>304</v>
      </c>
      <c r="L24" s="194"/>
      <c r="M24" s="194"/>
      <c r="N24" s="195"/>
      <c r="O24" s="196">
        <v>7185401000</v>
      </c>
      <c r="P24" s="197"/>
      <c r="Q24" s="197"/>
      <c r="R24" s="197"/>
      <c r="S24" s="197"/>
      <c r="T24" s="197"/>
      <c r="U24" s="197"/>
      <c r="V24" s="198"/>
      <c r="W24" s="199" t="s">
        <v>302</v>
      </c>
      <c r="X24" s="200"/>
      <c r="Y24" s="200"/>
      <c r="Z24" s="200"/>
      <c r="AA24" s="201"/>
      <c r="AB24" s="202">
        <v>64669000</v>
      </c>
      <c r="AC24" s="203"/>
      <c r="AD24" s="203"/>
      <c r="AE24" s="203"/>
      <c r="AF24" s="204"/>
      <c r="AG24" s="116">
        <v>9</v>
      </c>
    </row>
    <row r="25" spans="1:33">
      <c r="A25" s="22"/>
      <c r="B25" s="158"/>
      <c r="C25" s="159"/>
      <c r="D25" s="190" t="s">
        <v>188</v>
      </c>
      <c r="E25" s="191"/>
      <c r="F25" s="191"/>
      <c r="G25" s="191"/>
      <c r="H25" s="191"/>
      <c r="I25" s="191"/>
      <c r="J25" s="192"/>
      <c r="K25" s="193">
        <v>304</v>
      </c>
      <c r="L25" s="194"/>
      <c r="M25" s="194"/>
      <c r="N25" s="195"/>
      <c r="O25" s="196">
        <v>0</v>
      </c>
      <c r="P25" s="197"/>
      <c r="Q25" s="197"/>
      <c r="R25" s="197"/>
      <c r="S25" s="197"/>
      <c r="T25" s="197"/>
      <c r="U25" s="197"/>
      <c r="V25" s="198"/>
      <c r="W25" s="199" t="s">
        <v>302</v>
      </c>
      <c r="X25" s="200"/>
      <c r="Y25" s="200"/>
      <c r="Z25" s="200"/>
      <c r="AA25" s="201"/>
      <c r="AB25" s="202">
        <v>0</v>
      </c>
      <c r="AC25" s="203"/>
      <c r="AD25" s="203"/>
      <c r="AE25" s="203"/>
      <c r="AF25" s="204"/>
      <c r="AG25" s="116">
        <v>9</v>
      </c>
    </row>
    <row r="26" spans="1:33">
      <c r="A26" s="22"/>
      <c r="B26" s="158"/>
      <c r="C26" s="159"/>
      <c r="D26" s="190" t="s">
        <v>189</v>
      </c>
      <c r="E26" s="191"/>
      <c r="F26" s="191"/>
      <c r="G26" s="191"/>
      <c r="H26" s="191"/>
      <c r="I26" s="191"/>
      <c r="J26" s="192"/>
      <c r="K26" s="193">
        <v>204</v>
      </c>
      <c r="L26" s="194"/>
      <c r="M26" s="194"/>
      <c r="N26" s="195"/>
      <c r="O26" s="196">
        <v>59249000</v>
      </c>
      <c r="P26" s="197"/>
      <c r="Q26" s="197"/>
      <c r="R26" s="197"/>
      <c r="S26" s="197"/>
      <c r="T26" s="197"/>
      <c r="U26" s="197"/>
      <c r="V26" s="198"/>
      <c r="W26" s="199" t="s">
        <v>302</v>
      </c>
      <c r="X26" s="200"/>
      <c r="Y26" s="200"/>
      <c r="Z26" s="200"/>
      <c r="AA26" s="201"/>
      <c r="AB26" s="202">
        <v>533000</v>
      </c>
      <c r="AC26" s="203"/>
      <c r="AD26" s="203"/>
      <c r="AE26" s="203"/>
      <c r="AF26" s="204"/>
      <c r="AG26" s="116">
        <v>9</v>
      </c>
    </row>
    <row r="27" spans="1:33">
      <c r="A27" s="22"/>
      <c r="B27" s="158"/>
      <c r="C27" s="159"/>
      <c r="D27" s="190" t="s">
        <v>190</v>
      </c>
      <c r="E27" s="191"/>
      <c r="F27" s="191"/>
      <c r="G27" s="191"/>
      <c r="H27" s="191"/>
      <c r="I27" s="191"/>
      <c r="J27" s="192"/>
      <c r="K27" s="31" t="s">
        <v>191</v>
      </c>
      <c r="L27" s="32"/>
      <c r="M27" s="32"/>
      <c r="N27" s="38"/>
      <c r="O27" s="205">
        <v>0</v>
      </c>
      <c r="P27" s="206"/>
      <c r="Q27" s="206"/>
      <c r="R27" s="206"/>
      <c r="S27" s="206"/>
      <c r="T27" s="206"/>
      <c r="U27" s="206"/>
      <c r="V27" s="207"/>
      <c r="W27" s="199"/>
      <c r="X27" s="200"/>
      <c r="Y27" s="200"/>
      <c r="Z27" s="200"/>
      <c r="AA27" s="201"/>
      <c r="AB27" s="202">
        <v>0</v>
      </c>
      <c r="AC27" s="203"/>
      <c r="AD27" s="203"/>
      <c r="AE27" s="203"/>
      <c r="AF27" s="204"/>
      <c r="AG27" s="58"/>
    </row>
    <row r="28" spans="1:33">
      <c r="A28" s="22"/>
      <c r="B28" s="160"/>
      <c r="C28" s="161"/>
      <c r="D28" s="190" t="s">
        <v>192</v>
      </c>
      <c r="E28" s="191"/>
      <c r="F28" s="191"/>
      <c r="G28" s="191"/>
      <c r="H28" s="191"/>
      <c r="I28" s="191"/>
      <c r="J28" s="13"/>
      <c r="K28" s="16"/>
      <c r="L28" s="16"/>
      <c r="M28" s="16"/>
      <c r="N28" s="18"/>
      <c r="O28" s="205">
        <v>7244650000</v>
      </c>
      <c r="P28" s="206"/>
      <c r="Q28" s="206"/>
      <c r="R28" s="206"/>
      <c r="S28" s="206"/>
      <c r="T28" s="206"/>
      <c r="U28" s="206"/>
      <c r="V28" s="207"/>
      <c r="W28" s="190" t="s">
        <v>193</v>
      </c>
      <c r="X28" s="191"/>
      <c r="Y28" s="191"/>
      <c r="Z28" s="191"/>
      <c r="AA28" s="192"/>
      <c r="AB28" s="202">
        <v>65202000</v>
      </c>
      <c r="AC28" s="203"/>
      <c r="AD28" s="203"/>
      <c r="AE28" s="203"/>
      <c r="AF28" s="204"/>
      <c r="AG28" s="58"/>
    </row>
    <row r="29" spans="1:33" s="14" customFormat="1" ht="15.75" customHeight="1">
      <c r="B29" s="208"/>
      <c r="C29" s="209"/>
      <c r="D29" s="74">
        <v>18</v>
      </c>
      <c r="E29" s="15" t="s">
        <v>194</v>
      </c>
      <c r="F29" s="13"/>
      <c r="G29" s="13"/>
      <c r="H29" s="13"/>
      <c r="I29" s="13"/>
      <c r="J29" s="13"/>
      <c r="K29" s="16"/>
      <c r="L29" s="16"/>
      <c r="M29" s="13" t="s">
        <v>195</v>
      </c>
      <c r="N29" s="16"/>
      <c r="O29" s="16"/>
      <c r="P29" s="16"/>
      <c r="Q29" s="16"/>
      <c r="R29" s="17"/>
      <c r="S29" s="16"/>
      <c r="T29" s="16"/>
      <c r="U29" s="16"/>
      <c r="V29" s="18" t="s">
        <v>196</v>
      </c>
      <c r="W29" s="15" t="s">
        <v>197</v>
      </c>
      <c r="X29" s="13"/>
      <c r="Y29" s="13"/>
      <c r="Z29" s="13"/>
      <c r="AA29" s="19"/>
      <c r="AB29" s="210">
        <v>0</v>
      </c>
      <c r="AC29" s="211"/>
      <c r="AD29" s="211"/>
      <c r="AE29" s="211"/>
      <c r="AF29" s="212"/>
      <c r="AG29" s="117"/>
    </row>
    <row r="30" spans="1:33" ht="15" customHeight="1">
      <c r="A30" s="22"/>
      <c r="B30" s="156" t="s">
        <v>198</v>
      </c>
      <c r="C30" s="157"/>
      <c r="D30" s="74">
        <v>20</v>
      </c>
      <c r="E30" s="172" t="s">
        <v>199</v>
      </c>
      <c r="F30" s="173"/>
      <c r="G30" s="173"/>
      <c r="H30" s="173"/>
      <c r="I30" s="173"/>
      <c r="J30" s="173"/>
      <c r="K30" s="173"/>
      <c r="L30" s="173"/>
      <c r="M30" s="173"/>
      <c r="N30" s="173"/>
      <c r="O30" s="173"/>
      <c r="P30" s="173"/>
      <c r="Q30" s="173"/>
      <c r="R30" s="173"/>
      <c r="S30" s="173"/>
      <c r="T30" s="173"/>
      <c r="U30" s="173"/>
      <c r="V30" s="173"/>
      <c r="W30" s="173"/>
      <c r="X30" s="173"/>
      <c r="Y30" s="173"/>
      <c r="Z30" s="173"/>
      <c r="AA30" s="174"/>
      <c r="AB30" s="213">
        <v>65202000</v>
      </c>
      <c r="AC30" s="214"/>
      <c r="AD30" s="214"/>
      <c r="AE30" s="214"/>
      <c r="AF30" s="215"/>
      <c r="AG30" s="58"/>
    </row>
    <row r="31" spans="1:33">
      <c r="A31" s="22"/>
      <c r="B31" s="158"/>
      <c r="C31" s="159"/>
      <c r="D31" s="74">
        <v>21</v>
      </c>
      <c r="E31" s="172" t="s">
        <v>200</v>
      </c>
      <c r="F31" s="173"/>
      <c r="G31" s="173"/>
      <c r="H31" s="173"/>
      <c r="I31" s="173"/>
      <c r="J31" s="173"/>
      <c r="K31" s="173"/>
      <c r="L31" s="173"/>
      <c r="M31" s="173"/>
      <c r="N31" s="173"/>
      <c r="O31" s="173"/>
      <c r="P31" s="173"/>
      <c r="Q31" s="173"/>
      <c r="R31" s="173">
        <v>0.15</v>
      </c>
      <c r="S31" s="173"/>
      <c r="T31" s="173"/>
      <c r="U31" s="173"/>
      <c r="V31" s="173"/>
      <c r="W31" s="173"/>
      <c r="X31" s="173"/>
      <c r="Y31" s="173"/>
      <c r="Z31" s="173"/>
      <c r="AA31" s="174"/>
      <c r="AB31" s="216">
        <v>0</v>
      </c>
      <c r="AC31" s="217"/>
      <c r="AD31" s="217"/>
      <c r="AE31" s="217"/>
      <c r="AF31" s="218"/>
      <c r="AG31" s="58"/>
    </row>
    <row r="32" spans="1:33">
      <c r="A32" s="22"/>
      <c r="B32" s="158"/>
      <c r="C32" s="159"/>
      <c r="D32" s="74">
        <v>22</v>
      </c>
      <c r="E32" s="172" t="s">
        <v>201</v>
      </c>
      <c r="F32" s="173"/>
      <c r="G32" s="173"/>
      <c r="H32" s="173"/>
      <c r="I32" s="173"/>
      <c r="J32" s="173"/>
      <c r="K32" s="173"/>
      <c r="L32" s="173"/>
      <c r="M32" s="173"/>
      <c r="N32" s="173"/>
      <c r="O32" s="173"/>
      <c r="P32" s="173"/>
      <c r="Q32" s="173"/>
      <c r="R32" s="173"/>
      <c r="S32" s="173"/>
      <c r="T32" s="173"/>
      <c r="U32" s="173"/>
      <c r="V32" s="173"/>
      <c r="W32" s="173"/>
      <c r="X32" s="173"/>
      <c r="Y32" s="173"/>
      <c r="Z32" s="173"/>
      <c r="AA32" s="174"/>
      <c r="AB32" s="216">
        <v>0</v>
      </c>
      <c r="AC32" s="217"/>
      <c r="AD32" s="217"/>
      <c r="AE32" s="217"/>
      <c r="AF32" s="218"/>
      <c r="AG32" s="58"/>
    </row>
    <row r="33" spans="1:33">
      <c r="A33" s="22"/>
      <c r="B33" s="158"/>
      <c r="C33" s="159"/>
      <c r="D33" s="74">
        <v>23</v>
      </c>
      <c r="E33" s="172" t="s">
        <v>202</v>
      </c>
      <c r="F33" s="173"/>
      <c r="G33" s="173"/>
      <c r="H33" s="173"/>
      <c r="I33" s="173"/>
      <c r="J33" s="173"/>
      <c r="K33" s="173"/>
      <c r="L33" s="173"/>
      <c r="M33" s="173"/>
      <c r="N33" s="173"/>
      <c r="O33" s="173"/>
      <c r="P33" s="173"/>
      <c r="Q33" s="173"/>
      <c r="R33" s="173"/>
      <c r="S33" s="173"/>
      <c r="T33" s="173"/>
      <c r="U33" s="173"/>
      <c r="V33" s="173"/>
      <c r="W33" s="173"/>
      <c r="X33" s="173"/>
      <c r="Y33" s="173"/>
      <c r="Z33" s="173"/>
      <c r="AA33" s="174"/>
      <c r="AB33" s="216">
        <v>4564000</v>
      </c>
      <c r="AC33" s="217"/>
      <c r="AD33" s="217"/>
      <c r="AE33" s="217"/>
      <c r="AF33" s="218"/>
      <c r="AG33" s="58"/>
    </row>
    <row r="34" spans="1:33">
      <c r="A34" s="22"/>
      <c r="B34" s="158"/>
      <c r="C34" s="159"/>
      <c r="D34" s="74">
        <v>24</v>
      </c>
      <c r="E34" s="172" t="s">
        <v>203</v>
      </c>
      <c r="F34" s="173"/>
      <c r="G34" s="173"/>
      <c r="H34" s="173"/>
      <c r="I34" s="173"/>
      <c r="J34" s="173"/>
      <c r="K34" s="173"/>
      <c r="L34" s="173"/>
      <c r="M34" s="173"/>
      <c r="N34" s="173"/>
      <c r="O34" s="173"/>
      <c r="P34" s="173"/>
      <c r="Q34" s="173"/>
      <c r="R34" s="173"/>
      <c r="S34" s="173"/>
      <c r="T34" s="173"/>
      <c r="U34" s="173"/>
      <c r="V34" s="173"/>
      <c r="W34" s="173"/>
      <c r="X34" s="173"/>
      <c r="Y34" s="173"/>
      <c r="Z34" s="173"/>
      <c r="AA34" s="174"/>
      <c r="AB34" s="216">
        <v>2608000</v>
      </c>
      <c r="AC34" s="217"/>
      <c r="AD34" s="217"/>
      <c r="AE34" s="217"/>
      <c r="AF34" s="218"/>
      <c r="AG34" s="58"/>
    </row>
    <row r="35" spans="1:33">
      <c r="A35" s="22"/>
      <c r="B35" s="158"/>
      <c r="C35" s="159"/>
      <c r="D35" s="74">
        <v>25</v>
      </c>
      <c r="E35" s="172" t="s">
        <v>204</v>
      </c>
      <c r="F35" s="173"/>
      <c r="G35" s="173"/>
      <c r="H35" s="173"/>
      <c r="I35" s="173"/>
      <c r="J35" s="173"/>
      <c r="K35" s="173"/>
      <c r="L35" s="17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174"/>
      <c r="AB35" s="175">
        <v>72374000</v>
      </c>
      <c r="AC35" s="176"/>
      <c r="AD35" s="176"/>
      <c r="AE35" s="176"/>
      <c r="AF35" s="177"/>
      <c r="AG35" s="58"/>
    </row>
    <row r="36" spans="1:33">
      <c r="A36" s="22"/>
      <c r="B36" s="158"/>
      <c r="C36" s="159"/>
      <c r="D36" s="74">
        <v>26</v>
      </c>
      <c r="E36" s="172" t="s">
        <v>205</v>
      </c>
      <c r="F36" s="173"/>
      <c r="G36" s="173"/>
      <c r="H36" s="173"/>
      <c r="I36" s="173"/>
      <c r="J36" s="173"/>
      <c r="K36" s="173"/>
      <c r="L36" s="173"/>
      <c r="M36" s="173"/>
      <c r="N36" s="173"/>
      <c r="O36" s="173"/>
      <c r="P36" s="173"/>
      <c r="Q36" s="173"/>
      <c r="R36" s="173"/>
      <c r="S36" s="173"/>
      <c r="T36" s="173"/>
      <c r="U36" s="173"/>
      <c r="V36" s="173"/>
      <c r="W36" s="173"/>
      <c r="X36" s="173"/>
      <c r="Y36" s="173"/>
      <c r="Z36" s="173"/>
      <c r="AA36" s="174"/>
      <c r="AB36" s="216">
        <v>0</v>
      </c>
      <c r="AC36" s="217"/>
      <c r="AD36" s="217"/>
      <c r="AE36" s="217"/>
      <c r="AF36" s="218"/>
      <c r="AG36" s="58"/>
    </row>
    <row r="37" spans="1:33">
      <c r="A37" s="22"/>
      <c r="B37" s="158"/>
      <c r="C37" s="159"/>
      <c r="D37" s="74">
        <v>27</v>
      </c>
      <c r="E37" s="172" t="s">
        <v>206</v>
      </c>
      <c r="F37" s="173"/>
      <c r="G37" s="173"/>
      <c r="H37" s="173"/>
      <c r="I37" s="173"/>
      <c r="J37" s="173"/>
      <c r="K37" s="173"/>
      <c r="L37" s="173"/>
      <c r="M37" s="173"/>
      <c r="N37" s="173"/>
      <c r="O37" s="173"/>
      <c r="P37" s="173"/>
      <c r="Q37" s="173"/>
      <c r="R37" s="173"/>
      <c r="S37" s="173"/>
      <c r="T37" s="173"/>
      <c r="U37" s="173"/>
      <c r="V37" s="173"/>
      <c r="W37" s="173"/>
      <c r="X37" s="173"/>
      <c r="Y37" s="173"/>
      <c r="Z37" s="173"/>
      <c r="AA37" s="174"/>
      <c r="AB37" s="219">
        <v>0</v>
      </c>
      <c r="AC37" s="220"/>
      <c r="AD37" s="220"/>
      <c r="AE37" s="220"/>
      <c r="AF37" s="221"/>
      <c r="AG37" s="58"/>
    </row>
    <row r="38" spans="1:33">
      <c r="A38" s="22"/>
      <c r="B38" s="158"/>
      <c r="C38" s="159"/>
      <c r="D38" s="74">
        <v>28</v>
      </c>
      <c r="E38" s="172" t="s">
        <v>207</v>
      </c>
      <c r="F38" s="173"/>
      <c r="G38" s="173"/>
      <c r="H38" s="173"/>
      <c r="I38" s="173"/>
      <c r="J38" s="173"/>
      <c r="K38" s="173"/>
      <c r="L38" s="173"/>
      <c r="M38" s="173"/>
      <c r="N38" s="173"/>
      <c r="O38" s="173"/>
      <c r="P38" s="173"/>
      <c r="Q38" s="173"/>
      <c r="R38" s="173"/>
      <c r="S38" s="173"/>
      <c r="T38" s="173"/>
      <c r="U38" s="173"/>
      <c r="V38" s="173"/>
      <c r="W38" s="173"/>
      <c r="X38" s="173"/>
      <c r="Y38" s="173"/>
      <c r="Z38" s="173"/>
      <c r="AA38" s="174"/>
      <c r="AB38" s="216">
        <v>70154000</v>
      </c>
      <c r="AC38" s="217"/>
      <c r="AD38" s="217"/>
      <c r="AE38" s="217"/>
      <c r="AF38" s="218"/>
      <c r="AG38" s="58"/>
    </row>
    <row r="39" spans="1:33">
      <c r="A39" s="22"/>
      <c r="B39" s="158"/>
      <c r="C39" s="159"/>
      <c r="D39" s="74">
        <v>29</v>
      </c>
      <c r="E39" s="172" t="s">
        <v>208</v>
      </c>
      <c r="F39" s="173"/>
      <c r="G39" s="173"/>
      <c r="H39" s="173"/>
      <c r="I39" s="173"/>
      <c r="J39" s="173"/>
      <c r="K39" s="173"/>
      <c r="L39" s="173"/>
      <c r="M39" s="173"/>
      <c r="N39" s="173"/>
      <c r="O39" s="173"/>
      <c r="P39" s="173"/>
      <c r="Q39" s="173"/>
      <c r="R39" s="173"/>
      <c r="S39" s="173"/>
      <c r="T39" s="173"/>
      <c r="U39" s="173"/>
      <c r="V39" s="173"/>
      <c r="W39" s="173"/>
      <c r="X39" s="173"/>
      <c r="Y39" s="173"/>
      <c r="Z39" s="173"/>
      <c r="AA39" s="174"/>
      <c r="AB39" s="216">
        <v>0</v>
      </c>
      <c r="AC39" s="217"/>
      <c r="AD39" s="217"/>
      <c r="AE39" s="217"/>
      <c r="AF39" s="218"/>
      <c r="AG39" s="58"/>
    </row>
    <row r="40" spans="1:33">
      <c r="A40" s="22"/>
      <c r="B40" s="158"/>
      <c r="C40" s="159"/>
      <c r="D40" s="74">
        <v>30</v>
      </c>
      <c r="E40" s="172" t="s">
        <v>209</v>
      </c>
      <c r="F40" s="173"/>
      <c r="G40" s="173"/>
      <c r="H40" s="173"/>
      <c r="I40" s="173"/>
      <c r="J40" s="173"/>
      <c r="K40" s="173"/>
      <c r="L40" s="173"/>
      <c r="M40" s="173"/>
      <c r="N40" s="173"/>
      <c r="O40" s="173"/>
      <c r="P40" s="173"/>
      <c r="Q40" s="173"/>
      <c r="R40" s="173"/>
      <c r="S40" s="173"/>
      <c r="T40" s="173"/>
      <c r="U40" s="173"/>
      <c r="V40" s="173"/>
      <c r="W40" s="173"/>
      <c r="X40" s="173"/>
      <c r="Y40" s="173"/>
      <c r="Z40" s="173"/>
      <c r="AA40" s="174"/>
      <c r="AB40" s="216">
        <v>0</v>
      </c>
      <c r="AC40" s="217"/>
      <c r="AD40" s="217"/>
      <c r="AE40" s="217"/>
      <c r="AF40" s="218"/>
      <c r="AG40" s="58"/>
    </row>
    <row r="41" spans="1:33">
      <c r="A41" s="22"/>
      <c r="B41" s="158"/>
      <c r="C41" s="159"/>
      <c r="D41" s="74">
        <v>31</v>
      </c>
      <c r="E41" s="190" t="s">
        <v>210</v>
      </c>
      <c r="F41" s="191"/>
      <c r="G41" s="191"/>
      <c r="H41" s="191" t="s">
        <v>211</v>
      </c>
      <c r="I41" s="191"/>
      <c r="J41" s="191"/>
      <c r="K41" s="192"/>
      <c r="L41" s="75" t="s">
        <v>301</v>
      </c>
      <c r="M41" s="190" t="s">
        <v>212</v>
      </c>
      <c r="N41" s="192"/>
      <c r="O41" s="75" t="s">
        <v>301</v>
      </c>
      <c r="P41" s="190" t="s">
        <v>213</v>
      </c>
      <c r="Q41" s="191"/>
      <c r="R41" s="192"/>
      <c r="S41" s="75"/>
      <c r="T41" s="13" t="s">
        <v>214</v>
      </c>
      <c r="U41" s="70"/>
      <c r="V41" s="75"/>
      <c r="W41" s="13" t="s">
        <v>215</v>
      </c>
      <c r="X41" s="222"/>
      <c r="Y41" s="223"/>
      <c r="Z41" s="223"/>
      <c r="AA41" s="224"/>
      <c r="AB41" s="216">
        <v>0</v>
      </c>
      <c r="AC41" s="217"/>
      <c r="AD41" s="217"/>
      <c r="AE41" s="217"/>
      <c r="AF41" s="218"/>
      <c r="AG41" s="58"/>
    </row>
    <row r="42" spans="1:33">
      <c r="A42" s="22"/>
      <c r="B42" s="158"/>
      <c r="C42" s="159"/>
      <c r="D42" s="74">
        <v>32</v>
      </c>
      <c r="E42" s="172" t="s">
        <v>216</v>
      </c>
      <c r="F42" s="173"/>
      <c r="G42" s="173"/>
      <c r="H42" s="173"/>
      <c r="I42" s="173"/>
      <c r="J42" s="173"/>
      <c r="K42" s="173"/>
      <c r="L42" s="173"/>
      <c r="M42" s="173"/>
      <c r="N42" s="173"/>
      <c r="O42" s="173"/>
      <c r="P42" s="173"/>
      <c r="Q42" s="173"/>
      <c r="R42" s="173"/>
      <c r="S42" s="173"/>
      <c r="T42" s="173"/>
      <c r="U42" s="173"/>
      <c r="V42" s="173"/>
      <c r="W42" s="173"/>
      <c r="X42" s="173"/>
      <c r="Y42" s="173"/>
      <c r="Z42" s="173"/>
      <c r="AA42" s="174"/>
      <c r="AB42" s="216">
        <v>0</v>
      </c>
      <c r="AC42" s="217"/>
      <c r="AD42" s="217"/>
      <c r="AE42" s="217"/>
      <c r="AF42" s="218"/>
      <c r="AG42" s="58"/>
    </row>
    <row r="43" spans="1:33">
      <c r="A43" s="22"/>
      <c r="B43" s="158"/>
      <c r="C43" s="159"/>
      <c r="D43" s="74">
        <v>33</v>
      </c>
      <c r="E43" s="172" t="s">
        <v>217</v>
      </c>
      <c r="F43" s="173"/>
      <c r="G43" s="173"/>
      <c r="H43" s="173"/>
      <c r="I43" s="173"/>
      <c r="J43" s="173"/>
      <c r="K43" s="173"/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3"/>
      <c r="W43" s="173"/>
      <c r="X43" s="173"/>
      <c r="Y43" s="173"/>
      <c r="Z43" s="173"/>
      <c r="AA43" s="174"/>
      <c r="AB43" s="216">
        <v>2220000</v>
      </c>
      <c r="AC43" s="217"/>
      <c r="AD43" s="217"/>
      <c r="AE43" s="217"/>
      <c r="AF43" s="218"/>
      <c r="AG43" s="58"/>
    </row>
    <row r="44" spans="1:33">
      <c r="A44" s="22"/>
      <c r="B44" s="160"/>
      <c r="C44" s="161"/>
      <c r="D44" s="74">
        <v>34</v>
      </c>
      <c r="E44" s="172" t="s">
        <v>218</v>
      </c>
      <c r="F44" s="173"/>
      <c r="G44" s="173"/>
      <c r="H44" s="173"/>
      <c r="I44" s="173"/>
      <c r="J44" s="173"/>
      <c r="K44" s="173"/>
      <c r="L44" s="173"/>
      <c r="M44" s="173"/>
      <c r="N44" s="173"/>
      <c r="O44" s="173"/>
      <c r="P44" s="173"/>
      <c r="Q44" s="173"/>
      <c r="R44" s="173"/>
      <c r="S44" s="173"/>
      <c r="T44" s="173"/>
      <c r="U44" s="173"/>
      <c r="V44" s="173"/>
      <c r="W44" s="173"/>
      <c r="X44" s="173"/>
      <c r="Y44" s="173"/>
      <c r="Z44" s="173"/>
      <c r="AA44" s="174"/>
      <c r="AB44" s="216">
        <v>0</v>
      </c>
      <c r="AC44" s="217"/>
      <c r="AD44" s="217"/>
      <c r="AE44" s="217"/>
      <c r="AF44" s="218"/>
      <c r="AG44" s="58"/>
    </row>
    <row r="45" spans="1:33">
      <c r="A45" s="22"/>
      <c r="B45" s="156" t="s">
        <v>219</v>
      </c>
      <c r="C45" s="157"/>
      <c r="D45" s="74">
        <v>35</v>
      </c>
      <c r="E45" s="172" t="s">
        <v>220</v>
      </c>
      <c r="F45" s="173"/>
      <c r="G45" s="173"/>
      <c r="H45" s="173"/>
      <c r="I45" s="173"/>
      <c r="J45" s="173"/>
      <c r="K45" s="173"/>
      <c r="L45" s="173"/>
      <c r="M45" s="173"/>
      <c r="N45" s="173"/>
      <c r="O45" s="173"/>
      <c r="P45" s="173"/>
      <c r="Q45" s="173"/>
      <c r="R45" s="173"/>
      <c r="S45" s="173"/>
      <c r="T45" s="173"/>
      <c r="U45" s="173"/>
      <c r="V45" s="173"/>
      <c r="W45" s="173"/>
      <c r="X45" s="173"/>
      <c r="Y45" s="173"/>
      <c r="Z45" s="173"/>
      <c r="AA45" s="174"/>
      <c r="AB45" s="175">
        <v>2220000</v>
      </c>
      <c r="AC45" s="176"/>
      <c r="AD45" s="176"/>
      <c r="AE45" s="176"/>
      <c r="AF45" s="177"/>
      <c r="AG45" s="58"/>
    </row>
    <row r="46" spans="1:33">
      <c r="A46" s="22"/>
      <c r="B46" s="158"/>
      <c r="C46" s="159"/>
      <c r="D46" s="74">
        <v>36</v>
      </c>
      <c r="E46" s="172" t="s">
        <v>221</v>
      </c>
      <c r="F46" s="173"/>
      <c r="G46" s="173"/>
      <c r="H46" s="173"/>
      <c r="I46" s="173"/>
      <c r="J46" s="173"/>
      <c r="K46" s="173"/>
      <c r="L46" s="173"/>
      <c r="M46" s="173"/>
      <c r="N46" s="173"/>
      <c r="O46" s="173"/>
      <c r="P46" s="173"/>
      <c r="Q46" s="173"/>
      <c r="R46" s="173"/>
      <c r="S46" s="173"/>
      <c r="T46" s="173"/>
      <c r="U46" s="173"/>
      <c r="V46" s="173"/>
      <c r="W46" s="173"/>
      <c r="X46" s="173"/>
      <c r="Y46" s="174"/>
      <c r="Z46" s="237">
        <v>0</v>
      </c>
      <c r="AA46" s="237"/>
      <c r="AB46" s="216">
        <v>0</v>
      </c>
      <c r="AC46" s="217"/>
      <c r="AD46" s="217"/>
      <c r="AE46" s="217"/>
      <c r="AF46" s="218"/>
      <c r="AG46" s="58"/>
    </row>
    <row r="47" spans="1:33">
      <c r="A47" s="22"/>
      <c r="B47" s="158"/>
      <c r="C47" s="159"/>
      <c r="D47" s="74">
        <v>37</v>
      </c>
      <c r="E47" s="172" t="s">
        <v>222</v>
      </c>
      <c r="F47" s="173"/>
      <c r="G47" s="173"/>
      <c r="H47" s="173"/>
      <c r="I47" s="173"/>
      <c r="J47" s="173"/>
      <c r="K47" s="173"/>
      <c r="L47" s="173"/>
      <c r="M47" s="173"/>
      <c r="N47" s="173"/>
      <c r="O47" s="173"/>
      <c r="P47" s="173"/>
      <c r="Q47" s="173"/>
      <c r="R47" s="173"/>
      <c r="S47" s="173"/>
      <c r="T47" s="173"/>
      <c r="U47" s="173"/>
      <c r="V47" s="173"/>
      <c r="W47" s="173"/>
      <c r="X47" s="173"/>
      <c r="Y47" s="173"/>
      <c r="Z47" s="173"/>
      <c r="AA47" s="174"/>
      <c r="AB47" s="216">
        <v>0</v>
      </c>
      <c r="AC47" s="217"/>
      <c r="AD47" s="217"/>
      <c r="AE47" s="217"/>
      <c r="AF47" s="218"/>
      <c r="AG47" s="58"/>
    </row>
    <row r="48" spans="1:33">
      <c r="A48" s="22"/>
      <c r="B48" s="160"/>
      <c r="C48" s="161"/>
      <c r="D48" s="74">
        <v>38</v>
      </c>
      <c r="E48" s="238" t="s">
        <v>223</v>
      </c>
      <c r="F48" s="239"/>
      <c r="G48" s="239"/>
      <c r="H48" s="239"/>
      <c r="I48" s="239"/>
      <c r="J48" s="239"/>
      <c r="K48" s="239"/>
      <c r="L48" s="239"/>
      <c r="M48" s="239"/>
      <c r="N48" s="239"/>
      <c r="O48" s="239"/>
      <c r="P48" s="239"/>
      <c r="Q48" s="239"/>
      <c r="R48" s="239"/>
      <c r="S48" s="239"/>
      <c r="T48" s="239"/>
      <c r="U48" s="239"/>
      <c r="V48" s="239"/>
      <c r="W48" s="239"/>
      <c r="X48" s="239"/>
      <c r="Y48" s="239"/>
      <c r="Z48" s="239"/>
      <c r="AA48" s="240"/>
      <c r="AB48" s="216">
        <v>2220000</v>
      </c>
      <c r="AC48" s="217"/>
      <c r="AD48" s="217"/>
      <c r="AE48" s="217"/>
      <c r="AF48" s="218"/>
      <c r="AG48" s="58"/>
    </row>
    <row r="49" spans="1:33" ht="15" customHeight="1">
      <c r="A49" s="22"/>
      <c r="B49" s="225" t="s">
        <v>224</v>
      </c>
      <c r="C49" s="226"/>
      <c r="D49" s="226"/>
      <c r="E49" s="226"/>
      <c r="F49" s="226"/>
      <c r="G49" s="227"/>
      <c r="H49" s="74">
        <v>39</v>
      </c>
      <c r="I49" s="172" t="s">
        <v>225</v>
      </c>
      <c r="J49" s="173"/>
      <c r="K49" s="173"/>
      <c r="L49" s="173"/>
      <c r="M49" s="173"/>
      <c r="N49" s="173"/>
      <c r="O49" s="173"/>
      <c r="P49" s="173"/>
      <c r="Q49" s="173"/>
      <c r="R49" s="173"/>
      <c r="S49" s="173"/>
      <c r="T49" s="173"/>
      <c r="U49" s="173"/>
      <c r="V49" s="173"/>
      <c r="W49" s="173"/>
      <c r="X49" s="173"/>
      <c r="Y49" s="173"/>
      <c r="Z49" s="173"/>
      <c r="AA49" s="174"/>
      <c r="AB49" s="216">
        <v>0</v>
      </c>
      <c r="AC49" s="217"/>
      <c r="AD49" s="217"/>
      <c r="AE49" s="217"/>
      <c r="AF49" s="218"/>
      <c r="AG49" s="58"/>
    </row>
    <row r="50" spans="1:33">
      <c r="A50" s="22"/>
      <c r="B50" s="228"/>
      <c r="C50" s="229"/>
      <c r="D50" s="229"/>
      <c r="E50" s="229"/>
      <c r="F50" s="229"/>
      <c r="G50" s="230"/>
      <c r="H50" s="74">
        <v>40</v>
      </c>
      <c r="I50" s="172" t="s">
        <v>226</v>
      </c>
      <c r="J50" s="173"/>
      <c r="K50" s="173"/>
      <c r="L50" s="173"/>
      <c r="M50" s="173"/>
      <c r="N50" s="173"/>
      <c r="O50" s="173"/>
      <c r="P50" s="173"/>
      <c r="Q50" s="173"/>
      <c r="R50" s="173"/>
      <c r="S50" s="173"/>
      <c r="T50" s="173"/>
      <c r="U50" s="173"/>
      <c r="V50" s="173"/>
      <c r="W50" s="173"/>
      <c r="X50" s="173"/>
      <c r="Y50" s="173"/>
      <c r="Z50" s="173"/>
      <c r="AA50" s="174"/>
      <c r="AB50" s="175">
        <v>2220000</v>
      </c>
      <c r="AC50" s="176"/>
      <c r="AD50" s="176"/>
      <c r="AE50" s="176"/>
      <c r="AF50" s="177"/>
      <c r="AG50" s="58"/>
    </row>
    <row r="51" spans="1:33">
      <c r="A51" s="22"/>
      <c r="B51" s="231"/>
      <c r="C51" s="232"/>
      <c r="D51" s="232"/>
      <c r="E51" s="232"/>
      <c r="F51" s="232"/>
      <c r="G51" s="233"/>
      <c r="H51" s="234" t="s">
        <v>227</v>
      </c>
      <c r="I51" s="234"/>
      <c r="J51" s="234"/>
      <c r="K51" s="234"/>
      <c r="L51" s="173"/>
      <c r="M51" s="173"/>
      <c r="N51" s="173"/>
      <c r="O51" s="173"/>
      <c r="P51" s="173"/>
      <c r="Q51" s="173"/>
      <c r="R51" s="173"/>
      <c r="S51" s="173"/>
      <c r="T51" s="173"/>
      <c r="U51" s="173"/>
      <c r="V51" s="173"/>
      <c r="W51" s="173"/>
      <c r="X51" s="235"/>
      <c r="Y51" s="173"/>
      <c r="Z51" s="173"/>
      <c r="AA51" s="173"/>
      <c r="AB51" s="173"/>
      <c r="AC51" s="173"/>
      <c r="AD51" s="173"/>
      <c r="AE51" s="173"/>
      <c r="AF51" s="236"/>
      <c r="AG51" s="58"/>
    </row>
    <row r="52" spans="1:33" ht="15" customHeight="1">
      <c r="A52" s="22"/>
      <c r="B52" s="158" t="s">
        <v>228</v>
      </c>
      <c r="C52" s="159"/>
      <c r="D52" s="172" t="s">
        <v>229</v>
      </c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4"/>
      <c r="S52" s="288" t="s">
        <v>230</v>
      </c>
      <c r="T52" s="289"/>
      <c r="U52" s="289"/>
      <c r="V52" s="289"/>
      <c r="W52" s="289"/>
      <c r="X52" s="79"/>
      <c r="Y52" s="235" t="s">
        <v>231</v>
      </c>
      <c r="Z52" s="235"/>
      <c r="AA52" s="235"/>
      <c r="AB52" s="235"/>
      <c r="AC52" s="290"/>
      <c r="AD52" s="291" t="s">
        <v>157</v>
      </c>
      <c r="AE52" s="291"/>
      <c r="AF52" s="80"/>
      <c r="AG52" s="58"/>
    </row>
    <row r="53" spans="1:33" ht="15" customHeight="1">
      <c r="A53" s="22"/>
      <c r="B53" s="158"/>
      <c r="C53" s="159"/>
      <c r="D53" s="301" t="s">
        <v>288</v>
      </c>
      <c r="E53" s="301"/>
      <c r="F53" s="301"/>
      <c r="G53" s="301"/>
      <c r="H53" s="301"/>
      <c r="I53" s="301"/>
      <c r="J53" s="301"/>
      <c r="K53" s="301"/>
      <c r="L53" s="301"/>
      <c r="M53" s="301"/>
      <c r="N53" s="301"/>
      <c r="O53" s="301"/>
      <c r="P53" s="301"/>
      <c r="Q53" s="301"/>
      <c r="R53" s="301"/>
      <c r="S53" s="301" t="s">
        <v>231</v>
      </c>
      <c r="T53" s="301"/>
      <c r="U53" s="301"/>
      <c r="V53" s="301"/>
      <c r="W53" s="301"/>
      <c r="X53" s="301"/>
      <c r="Y53" s="301"/>
      <c r="Z53" s="301"/>
      <c r="AA53" s="301"/>
      <c r="AB53" s="301"/>
      <c r="AC53" s="301"/>
      <c r="AD53" s="301"/>
      <c r="AE53" s="301"/>
      <c r="AF53" s="301"/>
      <c r="AG53" s="58"/>
    </row>
    <row r="54" spans="1:33" ht="15" customHeight="1">
      <c r="A54" s="22"/>
      <c r="B54" s="158"/>
      <c r="C54" s="159"/>
      <c r="D54" s="295"/>
      <c r="E54" s="296"/>
      <c r="F54" s="296"/>
      <c r="G54" s="296"/>
      <c r="H54" s="296"/>
      <c r="I54" s="296"/>
      <c r="J54" s="296"/>
      <c r="K54" s="296"/>
      <c r="L54" s="296"/>
      <c r="M54" s="296"/>
      <c r="N54" s="296"/>
      <c r="O54" s="296"/>
      <c r="P54" s="296"/>
      <c r="Q54" s="296"/>
      <c r="R54" s="297"/>
      <c r="S54" s="288"/>
      <c r="T54" s="289"/>
      <c r="U54" s="289"/>
      <c r="V54" s="289"/>
      <c r="W54" s="289"/>
      <c r="X54" s="289"/>
      <c r="Y54" s="289"/>
      <c r="Z54" s="289"/>
      <c r="AA54" s="289"/>
      <c r="AB54" s="289"/>
      <c r="AC54" s="289"/>
      <c r="AD54" s="289"/>
      <c r="AE54" s="289"/>
      <c r="AF54" s="313"/>
      <c r="AG54" s="58"/>
    </row>
    <row r="55" spans="1:33">
      <c r="A55" s="22"/>
      <c r="B55" s="158"/>
      <c r="C55" s="159"/>
      <c r="D55" s="298"/>
      <c r="E55" s="299"/>
      <c r="F55" s="299"/>
      <c r="G55" s="299"/>
      <c r="H55" s="299"/>
      <c r="I55" s="299"/>
      <c r="J55" s="299"/>
      <c r="K55" s="299"/>
      <c r="L55" s="299"/>
      <c r="M55" s="299"/>
      <c r="N55" s="299"/>
      <c r="O55" s="299"/>
      <c r="P55" s="299"/>
      <c r="Q55" s="299"/>
      <c r="R55" s="300"/>
      <c r="S55" s="298"/>
      <c r="T55" s="299"/>
      <c r="U55" s="299"/>
      <c r="V55" s="299"/>
      <c r="W55" s="299"/>
      <c r="X55" s="299"/>
      <c r="Y55" s="299"/>
      <c r="Z55" s="299"/>
      <c r="AA55" s="299"/>
      <c r="AB55" s="299"/>
      <c r="AC55" s="299"/>
      <c r="AD55" s="299"/>
      <c r="AE55" s="299"/>
      <c r="AF55" s="314"/>
      <c r="AG55" s="58"/>
    </row>
    <row r="56" spans="1:33">
      <c r="A56" s="22"/>
      <c r="B56" s="158"/>
      <c r="C56" s="159"/>
      <c r="D56" s="292" t="s">
        <v>232</v>
      </c>
      <c r="E56" s="293"/>
      <c r="F56" s="285" t="s">
        <v>233</v>
      </c>
      <c r="G56" s="285" t="s">
        <v>233</v>
      </c>
      <c r="H56" s="285" t="s">
        <v>233</v>
      </c>
      <c r="I56" s="285" t="s">
        <v>233</v>
      </c>
      <c r="J56" s="285" t="s">
        <v>233</v>
      </c>
      <c r="K56" s="285" t="s">
        <v>233</v>
      </c>
      <c r="L56" s="285" t="s">
        <v>233</v>
      </c>
      <c r="M56" s="285" t="s">
        <v>233</v>
      </c>
      <c r="N56" s="285" t="s">
        <v>233</v>
      </c>
      <c r="O56" s="285" t="s">
        <v>233</v>
      </c>
      <c r="P56" s="285" t="s">
        <v>233</v>
      </c>
      <c r="Q56" s="285" t="s">
        <v>233</v>
      </c>
      <c r="R56" s="294" t="s">
        <v>233</v>
      </c>
      <c r="S56" s="292" t="s">
        <v>232</v>
      </c>
      <c r="T56" s="293"/>
      <c r="U56" s="285" t="s">
        <v>291</v>
      </c>
      <c r="V56" s="285"/>
      <c r="W56" s="285"/>
      <c r="X56" s="285"/>
      <c r="Y56" s="285"/>
      <c r="Z56" s="285"/>
      <c r="AA56" s="285"/>
      <c r="AB56" s="285"/>
      <c r="AC56" s="285"/>
      <c r="AD56" s="285"/>
      <c r="AE56" s="285"/>
      <c r="AF56" s="286"/>
      <c r="AG56" s="58"/>
    </row>
    <row r="57" spans="1:33">
      <c r="A57" s="22"/>
      <c r="B57" s="160"/>
      <c r="C57" s="161"/>
      <c r="D57" s="77" t="s">
        <v>155</v>
      </c>
      <c r="E57" s="81" t="s">
        <v>148</v>
      </c>
      <c r="F57" s="76" t="s">
        <v>159</v>
      </c>
      <c r="G57" s="81"/>
      <c r="H57" s="76" t="s">
        <v>158</v>
      </c>
      <c r="I57" s="81"/>
      <c r="J57" s="13" t="s">
        <v>234</v>
      </c>
      <c r="K57" s="287">
        <v>71695188</v>
      </c>
      <c r="L57" s="287"/>
      <c r="M57" s="287"/>
      <c r="N57" s="287"/>
      <c r="O57" s="287"/>
      <c r="P57" s="287"/>
      <c r="Q57" s="287"/>
      <c r="R57" s="287"/>
      <c r="S57" s="77" t="s">
        <v>155</v>
      </c>
      <c r="T57" s="81" t="s">
        <v>157</v>
      </c>
      <c r="U57" s="190" t="s">
        <v>159</v>
      </c>
      <c r="V57" s="192"/>
      <c r="W57" s="13" t="s">
        <v>235</v>
      </c>
      <c r="X57" s="287">
        <v>1026258554</v>
      </c>
      <c r="Y57" s="287"/>
      <c r="Z57" s="287"/>
      <c r="AA57" s="287"/>
      <c r="AB57" s="287"/>
      <c r="AC57" s="287"/>
      <c r="AD57" s="287"/>
      <c r="AE57" s="287"/>
      <c r="AF57" s="82"/>
      <c r="AG57" s="58"/>
    </row>
    <row r="58" spans="1:33">
      <c r="A58" s="22"/>
      <c r="B58" s="78"/>
      <c r="C58" s="83"/>
      <c r="D58" s="84"/>
      <c r="E58" s="85"/>
      <c r="F58" s="84"/>
      <c r="G58" s="85"/>
      <c r="H58" s="84"/>
      <c r="I58" s="85"/>
      <c r="J58" s="84"/>
      <c r="K58" s="84"/>
      <c r="L58" s="84"/>
      <c r="M58" s="84"/>
      <c r="N58" s="84"/>
      <c r="O58" s="84"/>
      <c r="P58" s="84"/>
      <c r="Q58" s="84"/>
      <c r="R58" s="86"/>
      <c r="S58" s="87"/>
      <c r="T58" s="85"/>
      <c r="U58" s="84"/>
      <c r="V58" s="85"/>
      <c r="W58" s="13" t="s">
        <v>236</v>
      </c>
      <c r="X58" s="241" t="s">
        <v>292</v>
      </c>
      <c r="Y58" s="241"/>
      <c r="Z58" s="241"/>
      <c r="AA58" s="241"/>
      <c r="AB58" s="241"/>
      <c r="AC58" s="241"/>
      <c r="AD58" s="241"/>
      <c r="AE58" s="241"/>
      <c r="AF58" s="242"/>
      <c r="AG58" s="58"/>
    </row>
    <row r="59" spans="1:33" ht="15" customHeight="1">
      <c r="A59" s="22"/>
      <c r="B59" s="243" t="s">
        <v>237</v>
      </c>
      <c r="C59" s="244"/>
      <c r="D59" s="244"/>
      <c r="E59" s="244"/>
      <c r="F59" s="244"/>
      <c r="G59" s="244"/>
      <c r="H59" s="244"/>
      <c r="I59" s="244"/>
      <c r="J59" s="244"/>
      <c r="K59" s="244"/>
      <c r="L59" s="244"/>
      <c r="M59" s="244"/>
      <c r="N59" s="244"/>
      <c r="O59" s="244"/>
      <c r="P59" s="244"/>
      <c r="Q59" s="244"/>
      <c r="R59" s="245"/>
      <c r="S59" s="252" t="s">
        <v>238</v>
      </c>
      <c r="T59" s="253"/>
      <c r="U59" s="253"/>
      <c r="V59" s="253"/>
      <c r="W59" s="253"/>
      <c r="X59" s="253"/>
      <c r="Y59" s="253"/>
      <c r="Z59" s="253"/>
      <c r="AA59" s="253"/>
      <c r="AB59" s="253"/>
      <c r="AC59" s="253"/>
      <c r="AD59" s="253"/>
      <c r="AE59" s="253"/>
      <c r="AF59" s="254"/>
      <c r="AG59" s="58"/>
    </row>
    <row r="60" spans="1:33">
      <c r="A60" s="22"/>
      <c r="B60" s="246"/>
      <c r="C60" s="247"/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8"/>
      <c r="S60" s="255"/>
      <c r="T60" s="256"/>
      <c r="U60" s="256"/>
      <c r="V60" s="256"/>
      <c r="W60" s="256"/>
      <c r="X60" s="256"/>
      <c r="Y60" s="256"/>
      <c r="Z60" s="256"/>
      <c r="AA60" s="256"/>
      <c r="AB60" s="256"/>
      <c r="AC60" s="256"/>
      <c r="AD60" s="256"/>
      <c r="AE60" s="256"/>
      <c r="AF60" s="257"/>
      <c r="AG60" s="58"/>
    </row>
    <row r="61" spans="1:33">
      <c r="A61" s="22"/>
      <c r="B61" s="249"/>
      <c r="C61" s="250"/>
      <c r="D61" s="250"/>
      <c r="E61" s="250"/>
      <c r="F61" s="250"/>
      <c r="G61" s="250"/>
      <c r="H61" s="250"/>
      <c r="I61" s="250"/>
      <c r="J61" s="250"/>
      <c r="K61" s="250"/>
      <c r="L61" s="250"/>
      <c r="M61" s="250"/>
      <c r="N61" s="250"/>
      <c r="O61" s="250"/>
      <c r="P61" s="250"/>
      <c r="Q61" s="250"/>
      <c r="R61" s="251"/>
      <c r="S61" s="258"/>
      <c r="T61" s="259"/>
      <c r="U61" s="259"/>
      <c r="V61" s="259"/>
      <c r="W61" s="259"/>
      <c r="X61" s="259"/>
      <c r="Y61" s="259"/>
      <c r="Z61" s="259"/>
      <c r="AA61" s="259"/>
      <c r="AB61" s="259"/>
      <c r="AC61" s="259"/>
      <c r="AD61" s="259"/>
      <c r="AE61" s="259"/>
      <c r="AF61" s="260"/>
      <c r="AG61" s="58"/>
    </row>
    <row r="62" spans="1:33" ht="15" customHeight="1">
      <c r="A62" s="22"/>
      <c r="B62" s="261" t="s">
        <v>239</v>
      </c>
      <c r="C62" s="262"/>
      <c r="D62" s="262"/>
      <c r="E62" s="262"/>
      <c r="F62" s="263"/>
      <c r="G62" s="270" t="s">
        <v>240</v>
      </c>
      <c r="H62" s="271"/>
      <c r="I62" s="271"/>
      <c r="J62" s="271"/>
      <c r="K62" s="271"/>
      <c r="L62" s="271"/>
      <c r="M62" s="271"/>
      <c r="N62" s="271"/>
      <c r="O62" s="271"/>
      <c r="P62" s="271"/>
      <c r="Q62" s="271"/>
      <c r="R62" s="272"/>
      <c r="S62" s="279" t="s">
        <v>241</v>
      </c>
      <c r="T62" s="262"/>
      <c r="U62" s="262"/>
      <c r="V62" s="262"/>
      <c r="W62" s="262"/>
      <c r="X62" s="262"/>
      <c r="Y62" s="262"/>
      <c r="Z62" s="262"/>
      <c r="AA62" s="262"/>
      <c r="AB62" s="262"/>
      <c r="AC62" s="262"/>
      <c r="AD62" s="262"/>
      <c r="AE62" s="262"/>
      <c r="AF62" s="280"/>
      <c r="AG62" s="58"/>
    </row>
    <row r="63" spans="1:33">
      <c r="A63" s="22"/>
      <c r="B63" s="264"/>
      <c r="C63" s="265"/>
      <c r="D63" s="265"/>
      <c r="E63" s="265"/>
      <c r="F63" s="266"/>
      <c r="G63" s="273"/>
      <c r="H63" s="274"/>
      <c r="I63" s="274"/>
      <c r="J63" s="274"/>
      <c r="K63" s="274"/>
      <c r="L63" s="274"/>
      <c r="M63" s="274"/>
      <c r="N63" s="274"/>
      <c r="O63" s="274"/>
      <c r="P63" s="274"/>
      <c r="Q63" s="274"/>
      <c r="R63" s="275"/>
      <c r="S63" s="281"/>
      <c r="T63" s="265"/>
      <c r="U63" s="265"/>
      <c r="V63" s="265"/>
      <c r="W63" s="265"/>
      <c r="X63" s="265"/>
      <c r="Y63" s="265"/>
      <c r="Z63" s="265"/>
      <c r="AA63" s="265"/>
      <c r="AB63" s="265"/>
      <c r="AC63" s="265"/>
      <c r="AD63" s="265"/>
      <c r="AE63" s="265"/>
      <c r="AF63" s="282"/>
      <c r="AG63" s="58"/>
    </row>
    <row r="64" spans="1:33" ht="15.75" thickBot="1">
      <c r="A64" s="22"/>
      <c r="B64" s="267"/>
      <c r="C64" s="268"/>
      <c r="D64" s="268"/>
      <c r="E64" s="268"/>
      <c r="F64" s="269"/>
      <c r="G64" s="276"/>
      <c r="H64" s="277"/>
      <c r="I64" s="277"/>
      <c r="J64" s="277"/>
      <c r="K64" s="277"/>
      <c r="L64" s="277"/>
      <c r="M64" s="277"/>
      <c r="N64" s="277"/>
      <c r="O64" s="277"/>
      <c r="P64" s="277"/>
      <c r="Q64" s="277"/>
      <c r="R64" s="278"/>
      <c r="S64" s="283"/>
      <c r="T64" s="268"/>
      <c r="U64" s="268"/>
      <c r="V64" s="268"/>
      <c r="W64" s="268"/>
      <c r="X64" s="268"/>
      <c r="Y64" s="268"/>
      <c r="Z64" s="268"/>
      <c r="AA64" s="268"/>
      <c r="AB64" s="268"/>
      <c r="AC64" s="268"/>
      <c r="AD64" s="268"/>
      <c r="AE64" s="268"/>
      <c r="AF64" s="284"/>
      <c r="AG64" s="58"/>
    </row>
    <row r="65" spans="1:33" ht="15.75" thickBot="1">
      <c r="A65" s="22"/>
      <c r="B65" s="39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1"/>
      <c r="AG65" s="58"/>
    </row>
    <row r="66" spans="1:33" ht="15" customHeight="1">
      <c r="A66" s="22"/>
      <c r="B66" s="305" t="s">
        <v>242</v>
      </c>
      <c r="C66" s="306"/>
      <c r="D66" s="309" t="s">
        <v>182</v>
      </c>
      <c r="E66" s="310"/>
      <c r="F66" s="310"/>
      <c r="G66" s="310"/>
      <c r="H66" s="310"/>
      <c r="I66" s="310"/>
      <c r="J66" s="311"/>
      <c r="K66" s="309" t="s">
        <v>183</v>
      </c>
      <c r="L66" s="310"/>
      <c r="M66" s="310"/>
      <c r="N66" s="311"/>
      <c r="O66" s="309" t="s">
        <v>184</v>
      </c>
      <c r="P66" s="310"/>
      <c r="Q66" s="310"/>
      <c r="R66" s="310"/>
      <c r="S66" s="310"/>
      <c r="T66" s="310"/>
      <c r="U66" s="310"/>
      <c r="V66" s="311"/>
      <c r="W66" s="309" t="s">
        <v>185</v>
      </c>
      <c r="X66" s="310"/>
      <c r="Y66" s="310"/>
      <c r="Z66" s="310"/>
      <c r="AA66" s="311"/>
      <c r="AB66" s="309" t="s">
        <v>186</v>
      </c>
      <c r="AC66" s="310"/>
      <c r="AD66" s="310"/>
      <c r="AE66" s="310"/>
      <c r="AF66" s="312"/>
      <c r="AG66" s="58"/>
    </row>
    <row r="67" spans="1:33">
      <c r="A67" s="22"/>
      <c r="B67" s="158"/>
      <c r="C67" s="159"/>
      <c r="D67" s="190" t="s">
        <v>243</v>
      </c>
      <c r="E67" s="191"/>
      <c r="F67" s="191"/>
      <c r="G67" s="191"/>
      <c r="H67" s="191"/>
      <c r="I67" s="191"/>
      <c r="J67" s="192"/>
      <c r="K67" s="193" t="str">
        <f>IFERROR(#REF!,"")</f>
        <v/>
      </c>
      <c r="L67" s="194"/>
      <c r="M67" s="194"/>
      <c r="N67" s="195"/>
      <c r="O67" s="196" t="e">
        <f>IF(#REF!&lt;0,0,#REF!)</f>
        <v>#REF!</v>
      </c>
      <c r="P67" s="197"/>
      <c r="Q67" s="197"/>
      <c r="R67" s="197"/>
      <c r="S67" s="197"/>
      <c r="T67" s="197"/>
      <c r="U67" s="197"/>
      <c r="V67" s="198"/>
      <c r="W67" s="199" t="e">
        <f>#REF!*1000&amp;" / 1000"</f>
        <v>#REF!</v>
      </c>
      <c r="X67" s="200"/>
      <c r="Y67" s="200"/>
      <c r="Z67" s="200"/>
      <c r="AA67" s="201"/>
      <c r="AB67" s="302" t="e">
        <f>IF(#REF!&lt;0,0,IF(#REF!&gt;1,#REF!,#REF!))</f>
        <v>#REF!</v>
      </c>
      <c r="AC67" s="303"/>
      <c r="AD67" s="303"/>
      <c r="AE67" s="303"/>
      <c r="AF67" s="304"/>
      <c r="AG67" s="58" t="e">
        <f>#REF!*1000</f>
        <v>#REF!</v>
      </c>
    </row>
    <row r="68" spans="1:33">
      <c r="A68" s="22"/>
      <c r="B68" s="158"/>
      <c r="C68" s="159"/>
      <c r="D68" s="190" t="s">
        <v>244</v>
      </c>
      <c r="E68" s="191"/>
      <c r="F68" s="191"/>
      <c r="G68" s="191"/>
      <c r="H68" s="191"/>
      <c r="I68" s="191"/>
      <c r="J68" s="192"/>
      <c r="K68" s="193" t="str">
        <f>IFERROR(#REF!,"")</f>
        <v/>
      </c>
      <c r="L68" s="194"/>
      <c r="M68" s="194"/>
      <c r="N68" s="195"/>
      <c r="O68" s="196" t="e">
        <f>IF(#REF!&lt;0,0,#REF!)</f>
        <v>#REF!</v>
      </c>
      <c r="P68" s="197"/>
      <c r="Q68" s="197"/>
      <c r="R68" s="197"/>
      <c r="S68" s="197"/>
      <c r="T68" s="197"/>
      <c r="U68" s="197"/>
      <c r="V68" s="198"/>
      <c r="W68" s="199" t="e">
        <f>#REF!*1000&amp;" / 1000"</f>
        <v>#REF!</v>
      </c>
      <c r="X68" s="200"/>
      <c r="Y68" s="200"/>
      <c r="Z68" s="200"/>
      <c r="AA68" s="201"/>
      <c r="AB68" s="302" t="e">
        <f>IF(#REF!&lt;0,0,IF(#REF!&gt;1,#REF!,#REF!))</f>
        <v>#REF!</v>
      </c>
      <c r="AC68" s="303"/>
      <c r="AD68" s="303"/>
      <c r="AE68" s="303"/>
      <c r="AF68" s="304"/>
      <c r="AG68" s="58" t="e">
        <f>#REF!*1000</f>
        <v>#REF!</v>
      </c>
    </row>
    <row r="69" spans="1:33">
      <c r="A69" s="22"/>
      <c r="B69" s="158"/>
      <c r="C69" s="159"/>
      <c r="D69" s="190" t="s">
        <v>245</v>
      </c>
      <c r="E69" s="191"/>
      <c r="F69" s="191"/>
      <c r="G69" s="191"/>
      <c r="H69" s="191"/>
      <c r="I69" s="191"/>
      <c r="J69" s="192"/>
      <c r="K69" s="193" t="str">
        <f>IFERROR(#REF!,"")</f>
        <v/>
      </c>
      <c r="L69" s="194"/>
      <c r="M69" s="194"/>
      <c r="N69" s="195"/>
      <c r="O69" s="196" t="e">
        <f>IF(#REF!&lt;0,0,#REF!)</f>
        <v>#REF!</v>
      </c>
      <c r="P69" s="197"/>
      <c r="Q69" s="197"/>
      <c r="R69" s="197"/>
      <c r="S69" s="197"/>
      <c r="T69" s="197"/>
      <c r="U69" s="197"/>
      <c r="V69" s="198"/>
      <c r="W69" s="199" t="e">
        <f>#REF!*1000&amp;" / 1000"</f>
        <v>#REF!</v>
      </c>
      <c r="X69" s="200"/>
      <c r="Y69" s="200"/>
      <c r="Z69" s="200"/>
      <c r="AA69" s="201"/>
      <c r="AB69" s="302" t="e">
        <f>IF(#REF!&lt;0,0,IF(#REF!&gt;1,#REF!,#REF!))</f>
        <v>#REF!</v>
      </c>
      <c r="AC69" s="303"/>
      <c r="AD69" s="303"/>
      <c r="AE69" s="303"/>
      <c r="AF69" s="304"/>
      <c r="AG69" s="58" t="e">
        <f>#REF!*1000</f>
        <v>#REF!</v>
      </c>
    </row>
    <row r="70" spans="1:33">
      <c r="A70" s="22"/>
      <c r="B70" s="158"/>
      <c r="C70" s="159"/>
      <c r="D70" s="190" t="s">
        <v>246</v>
      </c>
      <c r="E70" s="191"/>
      <c r="F70" s="191"/>
      <c r="G70" s="191"/>
      <c r="H70" s="191"/>
      <c r="I70" s="191"/>
      <c r="J70" s="192"/>
      <c r="K70" s="193" t="str">
        <f>IFERROR(#REF!,"")</f>
        <v/>
      </c>
      <c r="L70" s="194"/>
      <c r="M70" s="194"/>
      <c r="N70" s="195"/>
      <c r="O70" s="196" t="e">
        <f>IF(#REF!&lt;0,0,#REF!)</f>
        <v>#REF!</v>
      </c>
      <c r="P70" s="197"/>
      <c r="Q70" s="197"/>
      <c r="R70" s="197"/>
      <c r="S70" s="197"/>
      <c r="T70" s="197"/>
      <c r="U70" s="197"/>
      <c r="V70" s="198"/>
      <c r="W70" s="199" t="e">
        <f>#REF!*1000&amp;" / 1000"</f>
        <v>#REF!</v>
      </c>
      <c r="X70" s="200"/>
      <c r="Y70" s="200"/>
      <c r="Z70" s="200"/>
      <c r="AA70" s="201"/>
      <c r="AB70" s="302" t="e">
        <f>IF(#REF!&lt;0,0,IF(#REF!&gt;1,#REF!,#REF!))</f>
        <v>#REF!</v>
      </c>
      <c r="AC70" s="303"/>
      <c r="AD70" s="303"/>
      <c r="AE70" s="303"/>
      <c r="AF70" s="304"/>
      <c r="AG70" s="58" t="e">
        <f>#REF!*1000</f>
        <v>#REF!</v>
      </c>
    </row>
    <row r="71" spans="1:33">
      <c r="A71" s="22"/>
      <c r="B71" s="158"/>
      <c r="C71" s="159"/>
      <c r="D71" s="190" t="s">
        <v>247</v>
      </c>
      <c r="E71" s="191"/>
      <c r="F71" s="191"/>
      <c r="G71" s="191"/>
      <c r="H71" s="191"/>
      <c r="I71" s="191"/>
      <c r="J71" s="192"/>
      <c r="K71" s="193" t="str">
        <f>IFERROR(#REF!,"")</f>
        <v/>
      </c>
      <c r="L71" s="194"/>
      <c r="M71" s="194"/>
      <c r="N71" s="195"/>
      <c r="O71" s="196" t="e">
        <f>IF(#REF!&lt;0,0,#REF!)</f>
        <v>#REF!</v>
      </c>
      <c r="P71" s="197"/>
      <c r="Q71" s="197"/>
      <c r="R71" s="197"/>
      <c r="S71" s="197"/>
      <c r="T71" s="197"/>
      <c r="U71" s="197"/>
      <c r="V71" s="198"/>
      <c r="W71" s="199" t="e">
        <f>#REF!*1000&amp;" / 1000"</f>
        <v>#REF!</v>
      </c>
      <c r="X71" s="200"/>
      <c r="Y71" s="200"/>
      <c r="Z71" s="200"/>
      <c r="AA71" s="201"/>
      <c r="AB71" s="302" t="e">
        <f>IF(#REF!&lt;0,0,IF(#REF!&gt;1,#REF!,#REF!))</f>
        <v>#REF!</v>
      </c>
      <c r="AC71" s="303"/>
      <c r="AD71" s="303"/>
      <c r="AE71" s="303"/>
      <c r="AF71" s="304"/>
      <c r="AG71" s="58" t="e">
        <f>#REF!*1000</f>
        <v>#REF!</v>
      </c>
    </row>
    <row r="72" spans="1:33">
      <c r="A72" s="22"/>
      <c r="B72" s="158"/>
      <c r="C72" s="159"/>
      <c r="D72" s="190" t="s">
        <v>248</v>
      </c>
      <c r="E72" s="191"/>
      <c r="F72" s="191"/>
      <c r="G72" s="191"/>
      <c r="H72" s="191"/>
      <c r="I72" s="191"/>
      <c r="J72" s="192"/>
      <c r="K72" s="193" t="str">
        <f>IFERROR(#REF!,"")</f>
        <v/>
      </c>
      <c r="L72" s="194"/>
      <c r="M72" s="194"/>
      <c r="N72" s="195"/>
      <c r="O72" s="196" t="e">
        <f>IF(#REF!&lt;0,0,#REF!)</f>
        <v>#REF!</v>
      </c>
      <c r="P72" s="197"/>
      <c r="Q72" s="197"/>
      <c r="R72" s="197"/>
      <c r="S72" s="197"/>
      <c r="T72" s="197"/>
      <c r="U72" s="197"/>
      <c r="V72" s="198"/>
      <c r="W72" s="199" t="e">
        <f>#REF!*1000&amp;" / 1000"</f>
        <v>#REF!</v>
      </c>
      <c r="X72" s="200"/>
      <c r="Y72" s="200"/>
      <c r="Z72" s="200"/>
      <c r="AA72" s="201"/>
      <c r="AB72" s="302" t="e">
        <f>IF(#REF!&lt;0,0,IF(#REF!&gt;1,#REF!,#REF!))</f>
        <v>#REF!</v>
      </c>
      <c r="AC72" s="303"/>
      <c r="AD72" s="303"/>
      <c r="AE72" s="303"/>
      <c r="AF72" s="304"/>
      <c r="AG72" s="58" t="e">
        <f>#REF!*1000</f>
        <v>#REF!</v>
      </c>
    </row>
    <row r="73" spans="1:33">
      <c r="A73" s="22"/>
      <c r="B73" s="158"/>
      <c r="C73" s="159"/>
      <c r="D73" s="190" t="s">
        <v>249</v>
      </c>
      <c r="E73" s="191"/>
      <c r="F73" s="191"/>
      <c r="G73" s="191"/>
      <c r="H73" s="191"/>
      <c r="I73" s="191"/>
      <c r="J73" s="192"/>
      <c r="K73" s="193" t="str">
        <f>IFERROR(#REF!,"")</f>
        <v/>
      </c>
      <c r="L73" s="194"/>
      <c r="M73" s="194"/>
      <c r="N73" s="195"/>
      <c r="O73" s="196" t="e">
        <f>IF(#REF!&lt;0,0,#REF!)</f>
        <v>#REF!</v>
      </c>
      <c r="P73" s="197"/>
      <c r="Q73" s="197"/>
      <c r="R73" s="197"/>
      <c r="S73" s="197"/>
      <c r="T73" s="197"/>
      <c r="U73" s="197"/>
      <c r="V73" s="198"/>
      <c r="W73" s="199" t="e">
        <f>#REF!*1000&amp;" / 1000"</f>
        <v>#REF!</v>
      </c>
      <c r="X73" s="200"/>
      <c r="Y73" s="200"/>
      <c r="Z73" s="200"/>
      <c r="AA73" s="201"/>
      <c r="AB73" s="302" t="e">
        <f>IF(#REF!&lt;0,0,IF(#REF!&gt;1,#REF!,#REF!))</f>
        <v>#REF!</v>
      </c>
      <c r="AC73" s="303"/>
      <c r="AD73" s="303"/>
      <c r="AE73" s="303"/>
      <c r="AF73" s="304"/>
      <c r="AG73" s="58" t="e">
        <f>#REF!*1000</f>
        <v>#REF!</v>
      </c>
    </row>
    <row r="74" spans="1:33">
      <c r="A74" s="22"/>
      <c r="B74" s="158"/>
      <c r="C74" s="159"/>
      <c r="D74" s="190" t="s">
        <v>250</v>
      </c>
      <c r="E74" s="191"/>
      <c r="F74" s="191"/>
      <c r="G74" s="191"/>
      <c r="H74" s="191"/>
      <c r="I74" s="191"/>
      <c r="J74" s="192"/>
      <c r="K74" s="193" t="str">
        <f>IFERROR(#REF!,"")</f>
        <v/>
      </c>
      <c r="L74" s="194"/>
      <c r="M74" s="194"/>
      <c r="N74" s="195"/>
      <c r="O74" s="196" t="e">
        <f>IF(#REF!&lt;0,0,#REF!)</f>
        <v>#REF!</v>
      </c>
      <c r="P74" s="197"/>
      <c r="Q74" s="197"/>
      <c r="R74" s="197"/>
      <c r="S74" s="197"/>
      <c r="T74" s="197"/>
      <c r="U74" s="197"/>
      <c r="V74" s="198"/>
      <c r="W74" s="199" t="e">
        <f>#REF!*1000&amp;" / 1000"</f>
        <v>#REF!</v>
      </c>
      <c r="X74" s="200"/>
      <c r="Y74" s="200"/>
      <c r="Z74" s="200"/>
      <c r="AA74" s="201"/>
      <c r="AB74" s="302" t="e">
        <f>IF(#REF!&lt;0,0,IF(#REF!&gt;1,#REF!,#REF!))</f>
        <v>#REF!</v>
      </c>
      <c r="AC74" s="303"/>
      <c r="AD74" s="303"/>
      <c r="AE74" s="303"/>
      <c r="AF74" s="304"/>
      <c r="AG74" s="58" t="e">
        <f>#REF!*1000</f>
        <v>#REF!</v>
      </c>
    </row>
    <row r="75" spans="1:33">
      <c r="A75" s="22"/>
      <c r="B75" s="158"/>
      <c r="C75" s="159"/>
      <c r="D75" s="190" t="s">
        <v>251</v>
      </c>
      <c r="E75" s="191"/>
      <c r="F75" s="191"/>
      <c r="G75" s="191"/>
      <c r="H75" s="191"/>
      <c r="I75" s="191"/>
      <c r="J75" s="192"/>
      <c r="K75" s="193" t="str">
        <f>IFERROR(#REF!,"")</f>
        <v/>
      </c>
      <c r="L75" s="194"/>
      <c r="M75" s="194"/>
      <c r="N75" s="195"/>
      <c r="O75" s="196" t="e">
        <f>IF(#REF!&lt;0,0,#REF!)</f>
        <v>#REF!</v>
      </c>
      <c r="P75" s="197"/>
      <c r="Q75" s="197"/>
      <c r="R75" s="197"/>
      <c r="S75" s="197"/>
      <c r="T75" s="197"/>
      <c r="U75" s="197"/>
      <c r="V75" s="198"/>
      <c r="W75" s="199" t="e">
        <f>#REF!*1000&amp;" / 1000"</f>
        <v>#REF!</v>
      </c>
      <c r="X75" s="200"/>
      <c r="Y75" s="200"/>
      <c r="Z75" s="200"/>
      <c r="AA75" s="201"/>
      <c r="AB75" s="302" t="e">
        <f>IF(#REF!&lt;0,0,IF(#REF!&gt;1,#REF!,#REF!))</f>
        <v>#REF!</v>
      </c>
      <c r="AC75" s="303"/>
      <c r="AD75" s="303"/>
      <c r="AE75" s="303"/>
      <c r="AF75" s="304"/>
      <c r="AG75" s="58" t="e">
        <f>#REF!*1000</f>
        <v>#REF!</v>
      </c>
    </row>
    <row r="76" spans="1:33">
      <c r="A76" s="22"/>
      <c r="B76" s="158"/>
      <c r="C76" s="159"/>
      <c r="D76" s="190" t="s">
        <v>252</v>
      </c>
      <c r="E76" s="191"/>
      <c r="F76" s="191"/>
      <c r="G76" s="191"/>
      <c r="H76" s="191"/>
      <c r="I76" s="191"/>
      <c r="J76" s="192"/>
      <c r="K76" s="193" t="str">
        <f>IFERROR(#REF!,"")</f>
        <v/>
      </c>
      <c r="L76" s="194"/>
      <c r="M76" s="194"/>
      <c r="N76" s="195"/>
      <c r="O76" s="196" t="e">
        <f>IF(#REF!&lt;0,0,#REF!)</f>
        <v>#REF!</v>
      </c>
      <c r="P76" s="197"/>
      <c r="Q76" s="197"/>
      <c r="R76" s="197"/>
      <c r="S76" s="197"/>
      <c r="T76" s="197"/>
      <c r="U76" s="197"/>
      <c r="V76" s="198"/>
      <c r="W76" s="199" t="e">
        <f>#REF!*1000&amp;" / 1000"</f>
        <v>#REF!</v>
      </c>
      <c r="X76" s="200"/>
      <c r="Y76" s="200"/>
      <c r="Z76" s="200"/>
      <c r="AA76" s="201"/>
      <c r="AB76" s="302" t="e">
        <f>IF(#REF!&lt;0,0,IF(#REF!&gt;1,#REF!,#REF!))</f>
        <v>#REF!</v>
      </c>
      <c r="AC76" s="303"/>
      <c r="AD76" s="303"/>
      <c r="AE76" s="303"/>
      <c r="AF76" s="304"/>
      <c r="AG76" s="22"/>
    </row>
    <row r="77" spans="1:33">
      <c r="A77" s="22"/>
      <c r="B77" s="158"/>
      <c r="C77" s="159"/>
      <c r="D77" s="190" t="s">
        <v>253</v>
      </c>
      <c r="E77" s="191"/>
      <c r="F77" s="191"/>
      <c r="G77" s="191"/>
      <c r="H77" s="191"/>
      <c r="I77" s="191"/>
      <c r="J77" s="192"/>
      <c r="K77" s="193" t="str">
        <f>IFERROR(#REF!,"")</f>
        <v/>
      </c>
      <c r="L77" s="194"/>
      <c r="M77" s="194"/>
      <c r="N77" s="195"/>
      <c r="O77" s="196" t="e">
        <f>IF(#REF!&lt;0,0,#REF!)</f>
        <v>#REF!</v>
      </c>
      <c r="P77" s="197"/>
      <c r="Q77" s="197"/>
      <c r="R77" s="197"/>
      <c r="S77" s="197"/>
      <c r="T77" s="197"/>
      <c r="U77" s="197"/>
      <c r="V77" s="198"/>
      <c r="W77" s="199" t="e">
        <f>#REF!*1000&amp;" / 1000"</f>
        <v>#REF!</v>
      </c>
      <c r="X77" s="200"/>
      <c r="Y77" s="200"/>
      <c r="Z77" s="200"/>
      <c r="AA77" s="201"/>
      <c r="AB77" s="302" t="e">
        <f>IF(#REF!&lt;0,0,IF(#REF!&gt;1,#REF!,#REF!))</f>
        <v>#REF!</v>
      </c>
      <c r="AC77" s="303"/>
      <c r="AD77" s="303"/>
      <c r="AE77" s="303"/>
      <c r="AF77" s="304"/>
      <c r="AG77" s="22"/>
    </row>
    <row r="78" spans="1:33">
      <c r="A78" s="22"/>
      <c r="B78" s="158"/>
      <c r="C78" s="159"/>
      <c r="D78" s="190" t="s">
        <v>254</v>
      </c>
      <c r="E78" s="191"/>
      <c r="F78" s="191"/>
      <c r="G78" s="191"/>
      <c r="H78" s="191"/>
      <c r="I78" s="191"/>
      <c r="J78" s="192"/>
      <c r="K78" s="193" t="str">
        <f>IFERROR(#REF!,"")</f>
        <v/>
      </c>
      <c r="L78" s="194"/>
      <c r="M78" s="194"/>
      <c r="N78" s="195"/>
      <c r="O78" s="196" t="e">
        <f>IF(#REF!&lt;0,0,#REF!)</f>
        <v>#REF!</v>
      </c>
      <c r="P78" s="197"/>
      <c r="Q78" s="197"/>
      <c r="R78" s="197"/>
      <c r="S78" s="197"/>
      <c r="T78" s="197"/>
      <c r="U78" s="197"/>
      <c r="V78" s="198"/>
      <c r="W78" s="199" t="e">
        <f>#REF!*1000&amp;" / 1000"</f>
        <v>#REF!</v>
      </c>
      <c r="X78" s="200"/>
      <c r="Y78" s="200"/>
      <c r="Z78" s="200"/>
      <c r="AA78" s="201"/>
      <c r="AB78" s="302" t="e">
        <f>IF(#REF!&lt;0,0,IF(#REF!&gt;1,#REF!,#REF!))</f>
        <v>#REF!</v>
      </c>
      <c r="AC78" s="303"/>
      <c r="AD78" s="303"/>
      <c r="AE78" s="303"/>
      <c r="AF78" s="304"/>
      <c r="AG78" s="22"/>
    </row>
    <row r="79" spans="1:33" ht="15.75" thickBot="1">
      <c r="A79" s="22"/>
      <c r="B79" s="307"/>
      <c r="C79" s="308"/>
      <c r="D79" s="317" t="s">
        <v>192</v>
      </c>
      <c r="E79" s="318"/>
      <c r="F79" s="318"/>
      <c r="G79" s="318"/>
      <c r="H79" s="318"/>
      <c r="I79" s="318"/>
      <c r="J79" s="319"/>
      <c r="K79" s="320"/>
      <c r="L79" s="321"/>
      <c r="M79" s="321"/>
      <c r="N79" s="322"/>
      <c r="O79" s="323" t="e">
        <f>+SUM(O67:V78)</f>
        <v>#REF!</v>
      </c>
      <c r="P79" s="324"/>
      <c r="Q79" s="324"/>
      <c r="R79" s="324"/>
      <c r="S79" s="324"/>
      <c r="T79" s="324"/>
      <c r="U79" s="324"/>
      <c r="V79" s="325"/>
      <c r="W79" s="317" t="s">
        <v>193</v>
      </c>
      <c r="X79" s="318"/>
      <c r="Y79" s="318"/>
      <c r="Z79" s="318"/>
      <c r="AA79" s="319"/>
      <c r="AB79" s="326" t="e">
        <f>+SUM(AB67:AF78)</f>
        <v>#REF!</v>
      </c>
      <c r="AC79" s="327"/>
      <c r="AD79" s="327"/>
      <c r="AE79" s="327"/>
      <c r="AF79" s="328"/>
      <c r="AG79" s="22"/>
    </row>
    <row r="80" spans="1:33">
      <c r="B80" s="315" t="s">
        <v>289</v>
      </c>
      <c r="C80" s="315"/>
      <c r="D80" s="315"/>
      <c r="E80" s="315"/>
      <c r="F80" s="315"/>
      <c r="G80" s="315"/>
      <c r="H80" s="315"/>
      <c r="I80" s="315"/>
      <c r="J80" s="315"/>
      <c r="K80" s="316" t="e">
        <f t="array" aca="1" ref="K80" ca="1">[2]!NumLetras(AB50)</f>
        <v>#NAME?</v>
      </c>
      <c r="L80" s="316"/>
      <c r="M80" s="316"/>
      <c r="N80" s="316"/>
      <c r="O80" s="316"/>
      <c r="P80" s="316"/>
      <c r="Q80" s="316"/>
      <c r="R80" s="316"/>
      <c r="S80" s="316"/>
      <c r="T80" s="316"/>
      <c r="U80" s="316"/>
      <c r="V80" s="316"/>
    </row>
    <row r="81"/>
  </sheetData>
  <mergeCells count="220">
    <mergeCell ref="S54:AF55"/>
    <mergeCell ref="S53:AF53"/>
    <mergeCell ref="B80:J80"/>
    <mergeCell ref="K80:V80"/>
    <mergeCell ref="D79:J79"/>
    <mergeCell ref="K79:N79"/>
    <mergeCell ref="O79:V79"/>
    <mergeCell ref="W79:AA79"/>
    <mergeCell ref="AB79:AF79"/>
    <mergeCell ref="D77:J77"/>
    <mergeCell ref="K77:N77"/>
    <mergeCell ref="O77:V77"/>
    <mergeCell ref="W77:AA77"/>
    <mergeCell ref="AB77:AF77"/>
    <mergeCell ref="D78:J78"/>
    <mergeCell ref="K78:N78"/>
    <mergeCell ref="O78:V78"/>
    <mergeCell ref="W78:AA78"/>
    <mergeCell ref="AB78:AF78"/>
    <mergeCell ref="D75:J75"/>
    <mergeCell ref="K75:N75"/>
    <mergeCell ref="O75:V75"/>
    <mergeCell ref="W75:AA75"/>
    <mergeCell ref="AB75:AF75"/>
    <mergeCell ref="D76:J76"/>
    <mergeCell ref="K76:N76"/>
    <mergeCell ref="O76:V76"/>
    <mergeCell ref="W76:AA76"/>
    <mergeCell ref="AB76:AF76"/>
    <mergeCell ref="D73:J73"/>
    <mergeCell ref="K73:N73"/>
    <mergeCell ref="O73:V73"/>
    <mergeCell ref="W73:AA73"/>
    <mergeCell ref="AB73:AF73"/>
    <mergeCell ref="D74:J74"/>
    <mergeCell ref="K74:N74"/>
    <mergeCell ref="O74:V74"/>
    <mergeCell ref="W74:AA74"/>
    <mergeCell ref="AB74:AF74"/>
    <mergeCell ref="W70:AA70"/>
    <mergeCell ref="AB70:AF70"/>
    <mergeCell ref="D71:J71"/>
    <mergeCell ref="K71:N71"/>
    <mergeCell ref="O71:V71"/>
    <mergeCell ref="W71:AA71"/>
    <mergeCell ref="AB71:AF71"/>
    <mergeCell ref="D72:J72"/>
    <mergeCell ref="K72:N72"/>
    <mergeCell ref="O72:V72"/>
    <mergeCell ref="W72:AA72"/>
    <mergeCell ref="AB72:AF72"/>
    <mergeCell ref="AB67:AF67"/>
    <mergeCell ref="D68:J68"/>
    <mergeCell ref="K68:N68"/>
    <mergeCell ref="O68:V68"/>
    <mergeCell ref="W68:AA68"/>
    <mergeCell ref="AB68:AF68"/>
    <mergeCell ref="B66:C79"/>
    <mergeCell ref="D66:J66"/>
    <mergeCell ref="K66:N66"/>
    <mergeCell ref="O66:V66"/>
    <mergeCell ref="W66:AA66"/>
    <mergeCell ref="AB66:AF66"/>
    <mergeCell ref="D67:J67"/>
    <mergeCell ref="K67:N67"/>
    <mergeCell ref="O67:V67"/>
    <mergeCell ref="W67:AA67"/>
    <mergeCell ref="D69:J69"/>
    <mergeCell ref="K69:N69"/>
    <mergeCell ref="O69:V69"/>
    <mergeCell ref="W69:AA69"/>
    <mergeCell ref="AB69:AF69"/>
    <mergeCell ref="D70:J70"/>
    <mergeCell ref="K70:N70"/>
    <mergeCell ref="O70:V70"/>
    <mergeCell ref="X58:AF58"/>
    <mergeCell ref="B59:R61"/>
    <mergeCell ref="S59:AF61"/>
    <mergeCell ref="B62:F64"/>
    <mergeCell ref="G62:R64"/>
    <mergeCell ref="S62:AF64"/>
    <mergeCell ref="U56:AF56"/>
    <mergeCell ref="K57:P57"/>
    <mergeCell ref="Q57:R57"/>
    <mergeCell ref="U57:V57"/>
    <mergeCell ref="X57:Y57"/>
    <mergeCell ref="Z57:AA57"/>
    <mergeCell ref="AB57:AC57"/>
    <mergeCell ref="AD57:AE57"/>
    <mergeCell ref="B52:C57"/>
    <mergeCell ref="D52:R52"/>
    <mergeCell ref="S52:W52"/>
    <mergeCell ref="Y52:AC52"/>
    <mergeCell ref="AD52:AE52"/>
    <mergeCell ref="D56:E56"/>
    <mergeCell ref="F56:R56"/>
    <mergeCell ref="S56:T56"/>
    <mergeCell ref="D54:R55"/>
    <mergeCell ref="D53:R53"/>
    <mergeCell ref="B49:G51"/>
    <mergeCell ref="I49:AA49"/>
    <mergeCell ref="AB49:AF49"/>
    <mergeCell ref="I50:AA50"/>
    <mergeCell ref="AB50:AF50"/>
    <mergeCell ref="H51:K51"/>
    <mergeCell ref="L51:AF51"/>
    <mergeCell ref="B45:C48"/>
    <mergeCell ref="E45:AA45"/>
    <mergeCell ref="AB45:AF45"/>
    <mergeCell ref="E46:Y46"/>
    <mergeCell ref="Z46:AA46"/>
    <mergeCell ref="AB46:AF46"/>
    <mergeCell ref="E47:AA47"/>
    <mergeCell ref="AB47:AF47"/>
    <mergeCell ref="E48:AA48"/>
    <mergeCell ref="AB48:AF48"/>
    <mergeCell ref="E42:AA42"/>
    <mergeCell ref="AB42:AF42"/>
    <mergeCell ref="E43:AA43"/>
    <mergeCell ref="AB43:AF43"/>
    <mergeCell ref="E44:AA44"/>
    <mergeCell ref="AB44:AF44"/>
    <mergeCell ref="E40:AA40"/>
    <mergeCell ref="AB40:AF40"/>
    <mergeCell ref="E41:G41"/>
    <mergeCell ref="H41:K41"/>
    <mergeCell ref="M41:N41"/>
    <mergeCell ref="P41:R41"/>
    <mergeCell ref="X41:AA41"/>
    <mergeCell ref="AB41:AF41"/>
    <mergeCell ref="AB26:AF26"/>
    <mergeCell ref="B29:C29"/>
    <mergeCell ref="AB29:AF29"/>
    <mergeCell ref="B30:C44"/>
    <mergeCell ref="E30:AA30"/>
    <mergeCell ref="AB30:AF30"/>
    <mergeCell ref="E31:AA31"/>
    <mergeCell ref="AB31:AF31"/>
    <mergeCell ref="E32:AA32"/>
    <mergeCell ref="AB32:AF32"/>
    <mergeCell ref="E33:AA33"/>
    <mergeCell ref="E37:AA37"/>
    <mergeCell ref="AB37:AF37"/>
    <mergeCell ref="E38:AA38"/>
    <mergeCell ref="AB38:AF38"/>
    <mergeCell ref="E39:AA39"/>
    <mergeCell ref="AB39:AF39"/>
    <mergeCell ref="AB33:AF33"/>
    <mergeCell ref="E34:AA34"/>
    <mergeCell ref="AB34:AF34"/>
    <mergeCell ref="E35:AA35"/>
    <mergeCell ref="AB35:AF35"/>
    <mergeCell ref="E36:AA36"/>
    <mergeCell ref="AB36:AF36"/>
    <mergeCell ref="B23:C28"/>
    <mergeCell ref="AB23:AF23"/>
    <mergeCell ref="D24:J24"/>
    <mergeCell ref="K24:N24"/>
    <mergeCell ref="O24:V24"/>
    <mergeCell ref="W24:AA24"/>
    <mergeCell ref="AB24:AF24"/>
    <mergeCell ref="D25:J25"/>
    <mergeCell ref="D27:J27"/>
    <mergeCell ref="O27:V27"/>
    <mergeCell ref="W27:AA27"/>
    <mergeCell ref="AB27:AF27"/>
    <mergeCell ref="D28:I28"/>
    <mergeCell ref="O28:V28"/>
    <mergeCell ref="W28:AA28"/>
    <mergeCell ref="AB28:AF28"/>
    <mergeCell ref="K25:N25"/>
    <mergeCell ref="O25:V25"/>
    <mergeCell ref="W25:AA25"/>
    <mergeCell ref="AB25:AF25"/>
    <mergeCell ref="D26:J26"/>
    <mergeCell ref="K26:N26"/>
    <mergeCell ref="O26:V26"/>
    <mergeCell ref="W26:AA26"/>
    <mergeCell ref="E19:AA19"/>
    <mergeCell ref="AB19:AF19"/>
    <mergeCell ref="E20:AA20"/>
    <mergeCell ref="AB20:AF20"/>
    <mergeCell ref="E21:AA21"/>
    <mergeCell ref="AB21:AF21"/>
    <mergeCell ref="B14:C22"/>
    <mergeCell ref="E14:AA14"/>
    <mergeCell ref="AB14:AF14"/>
    <mergeCell ref="E15:AA15"/>
    <mergeCell ref="AB15:AF15"/>
    <mergeCell ref="E16:AA16"/>
    <mergeCell ref="AB16:AF16"/>
    <mergeCell ref="E17:AA17"/>
    <mergeCell ref="AB17:AF17"/>
    <mergeCell ref="E18:AA18"/>
    <mergeCell ref="E22:AA22"/>
    <mergeCell ref="AB22:AF22"/>
    <mergeCell ref="B8:C13"/>
    <mergeCell ref="L8:AF8"/>
    <mergeCell ref="N9:S9"/>
    <mergeCell ref="V9:X9"/>
    <mergeCell ref="Z9:AE9"/>
    <mergeCell ref="K10:AF10"/>
    <mergeCell ref="E13:I13"/>
    <mergeCell ref="V13:AA13"/>
    <mergeCell ref="AB18:AF18"/>
    <mergeCell ref="B5:D6"/>
    <mergeCell ref="E5:H6"/>
    <mergeCell ref="P5:Y5"/>
    <mergeCell ref="B7:D7"/>
    <mergeCell ref="E7:H7"/>
    <mergeCell ref="P7:V7"/>
    <mergeCell ref="W7:Z7"/>
    <mergeCell ref="B2:AF2"/>
    <mergeCell ref="B3:F3"/>
    <mergeCell ref="G3:Y3"/>
    <mergeCell ref="Z3:AF3"/>
    <mergeCell ref="B4:F4"/>
    <mergeCell ref="G4:Y4"/>
    <mergeCell ref="Z4:AF4"/>
    <mergeCell ref="AA7:AC7"/>
  </mergeCells>
  <dataValidations disablePrompts="1" count="2">
    <dataValidation type="list" allowBlank="1" showInputMessage="1" showErrorMessage="1" sqref="AB131050:AF131050 AB196586:AF196586 AB983018:AF983018 AB851946:AF851946 AB917482:AF917482 AB720874:AF720874 AB786410:AF786410 AB655338:AF655338 AB524266:AF524266 AB589802:AF589802 AB458730:AF458730 AB327658:AF327658 AB393194:AF393194 AB262122:AF262122 AB65514:AF65514" xr:uid="{00000000-0002-0000-0300-000000000000}"/>
    <dataValidation type="list" allowBlank="1" showInputMessage="1" showErrorMessage="1" sqref="F56:R56 U56:AF56 D53:AF53" xr:uid="{00000000-0002-0000-0300-000001000000}">
      <formula1>#REF!</formula1>
    </dataValidation>
  </dataValidations>
  <hyperlinks>
    <hyperlink ref="J13" r:id="rId1" xr:uid="{00000000-0004-0000-0300-000000000000}"/>
  </hyperlinks>
  <pageMargins left="0.7" right="0.7" top="0.75" bottom="0.75" header="0.3" footer="0.3"/>
  <pageSetup paperSize="9" scale="60" orientation="portrait" r:id="rId2"/>
  <colBreaks count="1" manualBreakCount="1">
    <brk id="33" max="63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3F030-9AE0-49FB-A642-1657CA54B4DA}">
  <sheetPr codeName="Hoja11"/>
  <dimension ref="A1:D1"/>
  <sheetViews>
    <sheetView workbookViewId="0"/>
  </sheetViews>
  <sheetFormatPr baseColWidth="10" defaultColWidth="11.42578125" defaultRowHeight="15"/>
  <sheetData>
    <row r="1" spans="1:4">
      <c r="A1">
        <v>1726975332782</v>
      </c>
      <c r="B1" t="s">
        <v>258</v>
      </c>
      <c r="C1" t="s">
        <v>259</v>
      </c>
      <c r="D1">
        <v>0</v>
      </c>
    </row>
  </sheetData>
  <pageMargins left="0.7" right="0.7" top="0.75" bottom="0.75" header="0.3" footer="0.3"/>
  <pageSetup orientation="portrait"/>
  <customProperties>
    <customPr name="OrphanNamesChecke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2D98D-5F2B-40CD-B5EB-7D78750DF5D6}">
  <sheetPr codeName="Hoja29"/>
  <dimension ref="A1:D6"/>
  <sheetViews>
    <sheetView workbookViewId="0"/>
  </sheetViews>
  <sheetFormatPr baseColWidth="10" defaultColWidth="11.42578125" defaultRowHeight="15"/>
  <sheetData>
    <row r="1" spans="1:4">
      <c r="A1">
        <v>1726975332958</v>
      </c>
      <c r="B1" t="s">
        <v>258</v>
      </c>
      <c r="C1" t="s">
        <v>259</v>
      </c>
      <c r="D1">
        <v>5</v>
      </c>
    </row>
    <row r="2" spans="1:4">
      <c r="A2">
        <v>1726975333260</v>
      </c>
      <c r="B2" t="s">
        <v>260</v>
      </c>
      <c r="C2" t="s">
        <v>261</v>
      </c>
      <c r="D2" t="s">
        <v>262</v>
      </c>
    </row>
    <row r="3" spans="1:4">
      <c r="A3">
        <v>1726975333260</v>
      </c>
      <c r="B3" t="s">
        <v>260</v>
      </c>
      <c r="C3" t="s">
        <v>263</v>
      </c>
      <c r="D3" t="s">
        <v>264</v>
      </c>
    </row>
    <row r="4" spans="1:4">
      <c r="A4">
        <v>1726975333260</v>
      </c>
      <c r="B4" t="s">
        <v>260</v>
      </c>
      <c r="C4" t="s">
        <v>265</v>
      </c>
      <c r="D4" t="s">
        <v>266</v>
      </c>
    </row>
    <row r="5" spans="1:4">
      <c r="A5">
        <v>1726975333260</v>
      </c>
      <c r="B5" t="s">
        <v>260</v>
      </c>
      <c r="C5" t="s">
        <v>267</v>
      </c>
      <c r="D5" t="s">
        <v>268</v>
      </c>
    </row>
    <row r="6" spans="1:4">
      <c r="A6">
        <v>1726975333260</v>
      </c>
      <c r="B6" t="s">
        <v>260</v>
      </c>
      <c r="C6" t="s">
        <v>269</v>
      </c>
      <c r="D6" t="s">
        <v>270</v>
      </c>
    </row>
  </sheetData>
  <pageMargins left="0.7" right="0.7" top="0.75" bottom="0.75" header="0.3" footer="0.3"/>
  <pageSetup orientation="portrait"/>
  <customProperties>
    <customPr name="OrphanNamesChecke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CAFA8-AC8F-4B54-A1AC-B6532A996508}">
  <sheetPr codeName="Hoja30"/>
  <dimension ref="A1:D1"/>
  <sheetViews>
    <sheetView workbookViewId="0"/>
  </sheetViews>
  <sheetFormatPr baseColWidth="10" defaultColWidth="11.42578125" defaultRowHeight="15"/>
  <sheetData>
    <row r="1" spans="1:4">
      <c r="A1">
        <v>1726975333085</v>
      </c>
      <c r="B1" t="s">
        <v>258</v>
      </c>
      <c r="C1" t="s">
        <v>259</v>
      </c>
      <c r="D1">
        <v>0</v>
      </c>
    </row>
  </sheetData>
  <pageMargins left="0.7" right="0.7" top="0.75" bottom="0.75" header="0.3" footer="0.3"/>
  <pageSetup orientation="portrait"/>
  <customProperties>
    <customPr name="OrphanNamesChecke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EAB72-E28E-4477-8321-4EC943446B13}">
  <sheetPr codeName="Hoja31"/>
  <dimension ref="A1:D1"/>
  <sheetViews>
    <sheetView workbookViewId="0"/>
  </sheetViews>
  <sheetFormatPr baseColWidth="10" defaultColWidth="11.42578125" defaultRowHeight="15"/>
  <sheetData>
    <row r="1" spans="1:4">
      <c r="A1">
        <v>1726975333212</v>
      </c>
      <c r="B1" t="s">
        <v>258</v>
      </c>
      <c r="C1" t="s">
        <v>259</v>
      </c>
      <c r="D1">
        <v>0</v>
      </c>
    </row>
  </sheetData>
  <pageMargins left="0.7" right="0.7" top="0.75" bottom="0.75" header="0.3" footer="0.3"/>
  <pageSetup orientation="portrait"/>
  <customProperties>
    <customPr name="OrphanNamesChecke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3C7D-7916-4984-8599-8C8BF1EC1A58}">
  <sheetPr codeName="Hoja28"/>
  <dimension ref="A1:W39"/>
  <sheetViews>
    <sheetView showGridLines="0" showRowColHeaders="0" zoomScale="81" zoomScaleNormal="81" workbookViewId="0">
      <selection activeCell="F34" sqref="F34"/>
    </sheetView>
  </sheetViews>
  <sheetFormatPr baseColWidth="10" defaultColWidth="11.42578125" defaultRowHeight="15"/>
  <cols>
    <col min="1" max="1" width="11.85546875" bestFit="1" customWidth="1"/>
    <col min="2" max="5" width="11.85546875" customWidth="1"/>
    <col min="6" max="6" width="14.140625" customWidth="1"/>
    <col min="7" max="8" width="11.85546875" customWidth="1"/>
    <col min="9" max="9" width="58" bestFit="1" customWidth="1"/>
    <col min="10" max="10" width="79.42578125" bestFit="1" customWidth="1"/>
    <col min="11" max="11" width="14.5703125" customWidth="1"/>
    <col min="12" max="12" width="14.5703125" bestFit="1" customWidth="1"/>
    <col min="13" max="13" width="38.5703125" bestFit="1" customWidth="1"/>
    <col min="14" max="14" width="22.140625" style="2" bestFit="1" customWidth="1"/>
    <col min="15" max="15" width="11.42578125" style="2" customWidth="1"/>
    <col min="16" max="16" width="12.7109375" style="2" customWidth="1"/>
    <col min="17" max="23" width="11.42578125" style="2" customWidth="1"/>
  </cols>
  <sheetData>
    <row r="1" spans="1:23" s="60" customFormat="1" ht="27.75" customHeight="1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9"/>
      <c r="O1" s="59"/>
      <c r="P1" s="59"/>
      <c r="Q1" s="59"/>
      <c r="R1" s="59"/>
      <c r="S1" s="59"/>
      <c r="T1" s="59"/>
      <c r="U1" s="59"/>
      <c r="V1" s="59"/>
      <c r="W1" s="59"/>
    </row>
    <row r="2" spans="1:23" s="20" customFormat="1">
      <c r="A2" s="57"/>
      <c r="B2" s="61"/>
      <c r="C2" s="55"/>
      <c r="D2" s="55"/>
      <c r="E2" s="55"/>
      <c r="F2" s="55"/>
      <c r="G2" s="57"/>
      <c r="H2" s="57"/>
      <c r="I2" s="22"/>
      <c r="J2" s="22"/>
      <c r="K2" s="62"/>
      <c r="L2" s="62"/>
      <c r="M2" s="63"/>
      <c r="N2" s="56"/>
      <c r="O2" s="56"/>
      <c r="P2" s="56"/>
      <c r="Q2" s="56"/>
      <c r="R2" s="56"/>
      <c r="S2" s="56"/>
      <c r="T2" s="56"/>
      <c r="U2" s="56"/>
      <c r="V2" s="56"/>
      <c r="W2" s="56"/>
    </row>
    <row r="3" spans="1:23" s="20" customFormat="1">
      <c r="A3" s="57"/>
      <c r="B3" s="61"/>
      <c r="C3" s="55"/>
      <c r="D3" s="55"/>
      <c r="E3" s="55"/>
      <c r="F3" s="55"/>
      <c r="G3" s="57"/>
      <c r="H3" s="57"/>
      <c r="I3" s="22"/>
      <c r="J3" s="22"/>
      <c r="K3" s="62"/>
      <c r="L3" s="62"/>
      <c r="M3" s="63"/>
      <c r="N3" s="56"/>
      <c r="O3" s="56"/>
      <c r="P3" s="56"/>
      <c r="Q3" s="56"/>
      <c r="R3" s="56"/>
      <c r="S3" s="56"/>
      <c r="T3" s="56"/>
      <c r="U3" s="56"/>
      <c r="V3" s="56"/>
      <c r="W3" s="56"/>
    </row>
    <row r="4" spans="1:23" s="20" customFormat="1">
      <c r="A4" s="57"/>
      <c r="B4" s="61"/>
      <c r="C4" s="55"/>
      <c r="D4" s="55"/>
      <c r="E4" s="55"/>
      <c r="F4" s="55"/>
      <c r="G4" s="57"/>
      <c r="H4" s="57"/>
      <c r="I4" s="22"/>
      <c r="J4" s="22"/>
      <c r="K4" s="62"/>
      <c r="L4" s="62"/>
      <c r="M4" s="63"/>
      <c r="N4" s="56"/>
      <c r="O4" s="56"/>
      <c r="P4" s="56"/>
      <c r="Q4" s="56"/>
      <c r="R4" s="56"/>
      <c r="S4" s="56"/>
      <c r="T4" s="56"/>
      <c r="U4" s="56"/>
      <c r="V4" s="56"/>
      <c r="W4" s="56"/>
    </row>
    <row r="5" spans="1:23" s="20" customFormat="1">
      <c r="A5" s="57"/>
      <c r="B5" s="61"/>
      <c r="C5" s="55"/>
      <c r="D5" s="55"/>
      <c r="E5" s="55"/>
      <c r="F5" s="55"/>
      <c r="G5" s="57"/>
      <c r="H5" s="57"/>
      <c r="I5" s="22"/>
      <c r="J5" s="22"/>
      <c r="K5" s="62"/>
      <c r="L5" s="62"/>
      <c r="M5" s="63"/>
      <c r="N5" s="56"/>
      <c r="O5" s="56"/>
      <c r="P5" s="56"/>
      <c r="Q5" s="56"/>
      <c r="R5" s="56"/>
      <c r="S5" s="56"/>
      <c r="T5" s="56"/>
      <c r="U5" s="56"/>
      <c r="V5" s="56"/>
      <c r="W5" s="56"/>
    </row>
    <row r="6" spans="1:23">
      <c r="A6" s="57"/>
      <c r="B6" s="61"/>
      <c r="C6" s="55"/>
      <c r="D6" s="55"/>
      <c r="E6" s="55"/>
      <c r="F6" s="55"/>
      <c r="G6" s="57"/>
      <c r="H6" s="57"/>
      <c r="I6" s="22"/>
      <c r="J6" s="22"/>
      <c r="K6" s="62"/>
      <c r="L6" s="62"/>
      <c r="M6" s="57"/>
      <c r="N6" s="24"/>
      <c r="S6" s="56"/>
    </row>
    <row r="7" spans="1:23">
      <c r="A7" s="20"/>
      <c r="B7" s="61"/>
      <c r="C7" s="20"/>
      <c r="D7" s="55"/>
      <c r="E7" s="55"/>
      <c r="F7" s="20"/>
      <c r="G7" s="57"/>
      <c r="H7" s="57"/>
      <c r="I7" s="22"/>
      <c r="J7" s="22"/>
      <c r="K7" s="62"/>
      <c r="L7" s="62"/>
      <c r="M7" s="57"/>
      <c r="S7" s="56"/>
    </row>
    <row r="8" spans="1:23" s="20" customFormat="1">
      <c r="B8" s="61"/>
      <c r="D8" s="55"/>
      <c r="E8" s="55"/>
      <c r="G8" s="57"/>
      <c r="H8" s="57"/>
      <c r="I8" s="22"/>
      <c r="J8" s="22"/>
      <c r="K8" s="62"/>
      <c r="L8" s="62"/>
      <c r="M8" s="57"/>
      <c r="N8" s="2"/>
      <c r="O8" s="56"/>
      <c r="P8" s="56"/>
      <c r="Q8" s="56"/>
      <c r="R8" s="56"/>
      <c r="S8" s="56"/>
      <c r="T8" s="56"/>
      <c r="U8" s="56"/>
      <c r="V8" s="56"/>
      <c r="W8" s="56"/>
    </row>
    <row r="9" spans="1:23" s="20" customFormat="1">
      <c r="B9" s="61"/>
      <c r="D9" s="55"/>
      <c r="E9" s="55"/>
      <c r="G9" s="57"/>
      <c r="H9" s="57"/>
      <c r="I9" s="22"/>
      <c r="J9" s="22"/>
      <c r="K9" s="62"/>
      <c r="L9" s="62"/>
      <c r="M9" s="57"/>
      <c r="N9" s="2"/>
      <c r="O9" s="56"/>
      <c r="P9" s="56"/>
      <c r="Q9" s="56"/>
      <c r="R9" s="56"/>
      <c r="S9" s="56"/>
      <c r="T9" s="56"/>
      <c r="U9" s="56"/>
      <c r="V9" s="56"/>
      <c r="W9" s="56"/>
    </row>
    <row r="10" spans="1:23">
      <c r="A10" s="20"/>
      <c r="B10" s="61"/>
      <c r="C10" s="20"/>
      <c r="D10" s="55"/>
      <c r="E10" s="55"/>
      <c r="F10" s="20"/>
      <c r="G10" s="57"/>
      <c r="H10" s="57"/>
      <c r="I10" s="22"/>
      <c r="J10" s="22"/>
      <c r="K10" s="62"/>
      <c r="L10" s="62"/>
      <c r="M10" s="57"/>
      <c r="S10" s="56"/>
    </row>
    <row r="11" spans="1:23">
      <c r="A11" s="20"/>
      <c r="B11" s="61"/>
      <c r="C11" s="20"/>
      <c r="D11" s="55"/>
      <c r="E11" s="55"/>
      <c r="F11" s="20"/>
      <c r="G11" s="57"/>
      <c r="H11" s="57"/>
      <c r="I11" s="22"/>
      <c r="J11" s="22"/>
      <c r="K11" s="62"/>
      <c r="L11" s="62"/>
      <c r="M11" s="57"/>
      <c r="S11" s="56"/>
    </row>
    <row r="12" spans="1:23">
      <c r="A12" s="20"/>
      <c r="B12" s="61"/>
      <c r="C12" s="20"/>
      <c r="D12" s="55"/>
      <c r="E12" s="55"/>
      <c r="F12" s="20"/>
      <c r="G12" s="57"/>
      <c r="H12" s="57"/>
      <c r="I12" s="22"/>
      <c r="J12" s="22"/>
      <c r="K12" s="62"/>
      <c r="L12" s="62"/>
      <c r="M12" s="20"/>
      <c r="S12" s="56"/>
    </row>
    <row r="13" spans="1:23">
      <c r="A13" s="20"/>
      <c r="B13" s="61"/>
      <c r="C13" s="20"/>
      <c r="D13" s="55"/>
      <c r="E13" s="55"/>
      <c r="F13" s="20"/>
      <c r="G13" s="57"/>
      <c r="H13" s="57"/>
      <c r="I13" s="22"/>
      <c r="J13" s="22"/>
      <c r="K13" s="62"/>
      <c r="L13" s="62"/>
      <c r="M13" s="57"/>
      <c r="S13" s="56"/>
    </row>
    <row r="14" spans="1:23">
      <c r="A14" s="20"/>
      <c r="B14" s="61"/>
      <c r="C14" s="20"/>
      <c r="D14" s="55"/>
      <c r="E14" s="55"/>
      <c r="F14" s="20"/>
      <c r="G14" s="57"/>
      <c r="H14" s="57"/>
      <c r="I14" s="22"/>
      <c r="J14" s="22"/>
      <c r="K14" s="62"/>
      <c r="L14" s="62"/>
      <c r="M14" s="57"/>
      <c r="S14" s="56"/>
    </row>
    <row r="15" spans="1:23">
      <c r="A15" s="20"/>
      <c r="B15" s="61"/>
      <c r="C15" s="20"/>
      <c r="D15" s="55"/>
      <c r="E15" s="55"/>
      <c r="F15" s="20"/>
      <c r="G15" s="57"/>
      <c r="H15" s="57"/>
      <c r="I15" s="22"/>
      <c r="J15" s="22"/>
      <c r="K15" s="62"/>
      <c r="L15" s="62"/>
      <c r="M15" s="22"/>
      <c r="S15" s="56"/>
    </row>
    <row r="16" spans="1:23">
      <c r="A16" s="20"/>
      <c r="B16" s="20"/>
      <c r="C16" s="20"/>
      <c r="D16" s="20"/>
      <c r="E16" s="20"/>
      <c r="F16" s="20"/>
      <c r="G16" s="57"/>
      <c r="H16" s="57"/>
      <c r="I16" s="22"/>
      <c r="J16" s="22"/>
      <c r="K16" s="64"/>
      <c r="L16" s="64"/>
      <c r="M16" s="20"/>
      <c r="S16" s="56"/>
    </row>
    <row r="17" spans="11:19">
      <c r="K17" s="65"/>
      <c r="L17" s="65"/>
      <c r="N17" s="56"/>
      <c r="S17" s="56"/>
    </row>
    <row r="18" spans="11:19">
      <c r="M18" s="23"/>
      <c r="N18" s="66"/>
      <c r="O18" s="66"/>
      <c r="P18" s="66"/>
      <c r="S18" s="56"/>
    </row>
    <row r="19" spans="11:19">
      <c r="S19" s="56"/>
    </row>
    <row r="20" spans="11:19">
      <c r="S20" s="56"/>
    </row>
    <row r="21" spans="11:19">
      <c r="K21" s="23"/>
      <c r="S21" s="56"/>
    </row>
    <row r="22" spans="11:19">
      <c r="K22" s="23"/>
      <c r="S22" s="56"/>
    </row>
    <row r="23" spans="11:19">
      <c r="S23" s="56"/>
    </row>
    <row r="24" spans="11:19">
      <c r="S24" s="56"/>
    </row>
    <row r="25" spans="11:19">
      <c r="S25" s="56"/>
    </row>
    <row r="26" spans="11:19">
      <c r="S26" s="56"/>
    </row>
    <row r="27" spans="11:19">
      <c r="S27" s="56"/>
    </row>
    <row r="28" spans="11:19">
      <c r="S28" s="56"/>
    </row>
    <row r="29" spans="11:19">
      <c r="S29" s="56"/>
    </row>
    <row r="30" spans="11:19">
      <c r="S30" s="56"/>
    </row>
    <row r="31" spans="11:19">
      <c r="S31" s="56"/>
    </row>
    <row r="32" spans="11:19">
      <c r="S32" s="56"/>
    </row>
    <row r="33" spans="19:19">
      <c r="S33" s="56"/>
    </row>
    <row r="34" spans="19:19">
      <c r="S34" s="56"/>
    </row>
    <row r="35" spans="19:19">
      <c r="S35" s="56"/>
    </row>
    <row r="36" spans="19:19">
      <c r="S36" s="56"/>
    </row>
    <row r="37" spans="19:19">
      <c r="S37" s="56"/>
    </row>
    <row r="38" spans="19:19">
      <c r="S38" s="56"/>
    </row>
    <row r="39" spans="19:19">
      <c r="S39" s="56"/>
    </row>
  </sheetData>
  <pageMargins left="0.7" right="0.7" top="0.75" bottom="0.75" header="0.3" footer="0.3"/>
  <pageSetup paperSize="9" orientation="portrait" r:id="rId1"/>
  <customProperties>
    <customPr name="OrphanNamesChecked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532e4fa-fee4-4d27-bd42-ab9b5296a2bb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5842F79967AD744905F37EAD26D5CFD" ma:contentTypeVersion="14" ma:contentTypeDescription="Crear nuevo documento." ma:contentTypeScope="" ma:versionID="b346fc0c86c1d7e12ca984d349f0ada9">
  <xsd:schema xmlns:xsd="http://www.w3.org/2001/XMLSchema" xmlns:xs="http://www.w3.org/2001/XMLSchema" xmlns:p="http://schemas.microsoft.com/office/2006/metadata/properties" xmlns:ns3="1532e4fa-fee4-4d27-bd42-ab9b5296a2bb" xmlns:ns4="18f1f7ff-4668-462c-8329-f7295fd88f77" targetNamespace="http://schemas.microsoft.com/office/2006/metadata/properties" ma:root="true" ma:fieldsID="b9a71c4d516ce20c71ff7c91cccbee47" ns3:_="" ns4:_="">
    <xsd:import namespace="1532e4fa-fee4-4d27-bd42-ab9b5296a2bb"/>
    <xsd:import namespace="18f1f7ff-4668-462c-8329-f7295fd88f7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32e4fa-fee4-4d27-bd42-ab9b5296a2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f1f7ff-4668-462c-8329-f7295fd88f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5620A6-8B7D-4B11-9837-8FD390CC3D5C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18f1f7ff-4668-462c-8329-f7295fd88f77"/>
    <ds:schemaRef ds:uri="http://schemas.openxmlformats.org/package/2006/metadata/core-properties"/>
    <ds:schemaRef ds:uri="1532e4fa-fee4-4d27-bd42-ab9b5296a2bb"/>
    <ds:schemaRef ds:uri="http://purl.org/dc/terms/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8D734EF-9007-4E1F-A79F-21EAF4C88B5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532e4fa-fee4-4d27-bd42-ab9b5296a2bb"/>
    <ds:schemaRef ds:uri="18f1f7ff-4668-462c-8329-f7295fd88f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2BACD5A-A089-4A9E-B4BB-EE8E9FDBFD4B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56440b0-bb43-4d81-a621-bc28eeeaa1f1}" enabled="1" method="Privileged" siteId="{d49de431-8ec2-4627-95dc-a1b041bbab30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17</vt:i4>
      </vt:variant>
    </vt:vector>
  </HeadingPairs>
  <TitlesOfParts>
    <vt:vector size="21" baseType="lpstr">
      <vt:lpstr>Admin</vt:lpstr>
      <vt:lpstr>Portada</vt:lpstr>
      <vt:lpstr>Formulario</vt:lpstr>
      <vt:lpstr>Reporte</vt:lpstr>
      <vt:lpstr>Adress</vt:lpstr>
      <vt:lpstr>Formulario!Área_de_impresión</vt:lpstr>
      <vt:lpstr>Codes</vt:lpstr>
      <vt:lpstr>Contact</vt:lpstr>
      <vt:lpstr>DANE</vt:lpstr>
      <vt:lpstr>DatacollectionRequesrID</vt:lpstr>
      <vt:lpstr>Duedate</vt:lpstr>
      <vt:lpstr>EntityID</vt:lpstr>
      <vt:lpstr>EntityName</vt:lpstr>
      <vt:lpstr>Jurisdiction</vt:lpstr>
      <vt:lpstr>Period</vt:lpstr>
      <vt:lpstr>Formulario!reporte.block</vt:lpstr>
      <vt:lpstr>Scenario</vt:lpstr>
      <vt:lpstr>Status</vt:lpstr>
      <vt:lpstr>TaxType</vt:lpstr>
      <vt:lpstr>TemplateName</vt:lpstr>
      <vt:lpstr>Year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Briyid Naranjo</dc:creator>
  <cp:keywords/>
  <dc:description/>
  <cp:lastModifiedBy>Fabian Stiven Mejia Basabe</cp:lastModifiedBy>
  <dcterms:created xsi:type="dcterms:W3CDTF">2020-01-15T13:36:03Z</dcterms:created>
  <dcterms:modified xsi:type="dcterms:W3CDTF">2026-06-17T22:30:30Z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put Color">
    <vt:lpwstr>65280</vt:lpwstr>
  </property>
  <property fmtid="{D5CDD505-2E9C-101B-9397-08002B2CF9AE}" pid="3" name="ContentTypeId">
    <vt:lpwstr>0x01010035842F79967AD744905F37EAD26D5CFD</vt:lpwstr>
  </property>
  <property fmtid="{D5CDD505-2E9C-101B-9397-08002B2CF9AE}" pid="4" name="Status">
    <vt:lpwstr>Edit</vt:lpwstr>
  </property>
  <property fmtid="{D5CDD505-2E9C-101B-9397-08002B2CF9AE}" pid="5" name="DataCollectionRequestId">
    <vt:i4>10756</vt:i4>
  </property>
  <property fmtid="{D5CDD505-2E9C-101B-9397-08002B2CF9AE}" pid="6" name="DataCollectionTemplateId">
    <vt:lpwstr>57</vt:lpwstr>
  </property>
  <property fmtid="{D5CDD505-2E9C-101B-9397-08002B2CF9AE}" pid="7" name="EntityName">
    <vt:lpwstr>GRUPO ENERGIA BOGOTÄ SA ESP</vt:lpwstr>
  </property>
  <property fmtid="{D5CDD505-2E9C-101B-9397-08002B2CF9AE}" pid="8" name="EntityId">
    <vt:lpwstr>899999082</vt:lpwstr>
  </property>
  <property fmtid="{D5CDD505-2E9C-101B-9397-08002B2CF9AE}" pid="9" name="TaxType">
    <vt:lpwstr>ICA</vt:lpwstr>
  </property>
  <property fmtid="{D5CDD505-2E9C-101B-9397-08002B2CF9AE}" pid="10" name="TemplateName">
    <vt:lpwstr>ICA2025GEB</vt:lpwstr>
  </property>
  <property fmtid="{D5CDD505-2E9C-101B-9397-08002B2CF9AE}" pid="11" name="TemplateExtension">
    <vt:lpwstr>.xlsm</vt:lpwstr>
  </property>
  <property fmtid="{D5CDD505-2E9C-101B-9397-08002B2CF9AE}" pid="12" name="WorkflowProcess">
    <vt:lpwstr/>
  </property>
  <property fmtid="{D5CDD505-2E9C-101B-9397-08002B2CF9AE}" pid="13" name="Year">
    <vt:lpwstr>2025</vt:lpwstr>
  </property>
  <property fmtid="{D5CDD505-2E9C-101B-9397-08002B2CF9AE}" pid="14" name="Period">
    <vt:lpwstr>DICIEMBRE</vt:lpwstr>
  </property>
  <property fmtid="{D5CDD505-2E9C-101B-9397-08002B2CF9AE}" pid="15" name="URL1">
    <vt:lpwstr>https://workflow-amer1.onesourcelogin.com</vt:lpwstr>
  </property>
  <property fmtid="{D5CDD505-2E9C-101B-9397-08002B2CF9AE}" pid="16" name="FormsFlowVersion">
    <vt:i4>82</vt:i4>
  </property>
  <property fmtid="{D5CDD505-2E9C-101B-9397-08002B2CF9AE}" pid="17" name="TemplateVersion">
    <vt:i4>13</vt:i4>
  </property>
  <property fmtid="{D5CDD505-2E9C-101B-9397-08002B2CF9AE}" pid="18" name="TemplateID">
    <vt:lpwstr>57</vt:lpwstr>
  </property>
  <property fmtid="{D5CDD505-2E9C-101B-9397-08002B2CF9AE}" pid="19" name="CID">
    <vt:lpwstr>ADY</vt:lpwstr>
  </property>
  <property fmtid="{D5CDD505-2E9C-101B-9397-08002B2CF9AE}" pid="20" name="Jurisdiction">
    <vt:lpwstr>CIENAGA-MAGDALENA-47189</vt:lpwstr>
  </property>
  <property fmtid="{D5CDD505-2E9C-101B-9397-08002B2CF9AE}" pid="21" name="Codes">
    <vt:lpwstr/>
  </property>
  <property fmtid="{D5CDD505-2E9C-101B-9397-08002B2CF9AE}" pid="22" name="Scenario">
    <vt:lpwstr/>
  </property>
  <property fmtid="{D5CDD505-2E9C-101B-9397-08002B2CF9AE}" pid="23" name="ClientNumber">
    <vt:lpwstr/>
  </property>
  <property fmtid="{D5CDD505-2E9C-101B-9397-08002B2CF9AE}" pid="24" name="ClientName">
    <vt:lpwstr/>
  </property>
  <property fmtid="{D5CDD505-2E9C-101B-9397-08002B2CF9AE}" pid="25" name="Address1">
    <vt:lpwstr/>
  </property>
  <property fmtid="{D5CDD505-2E9C-101B-9397-08002B2CF9AE}" pid="26" name="Address2">
    <vt:lpwstr/>
  </property>
  <property fmtid="{D5CDD505-2E9C-101B-9397-08002B2CF9AE}" pid="27" name="City">
    <vt:lpwstr/>
  </property>
  <property fmtid="{D5CDD505-2E9C-101B-9397-08002B2CF9AE}" pid="28" name="State">
    <vt:lpwstr/>
  </property>
  <property fmtid="{D5CDD505-2E9C-101B-9397-08002B2CF9AE}" pid="29" name="Country">
    <vt:lpwstr>Colombia</vt:lpwstr>
  </property>
  <property fmtid="{D5CDD505-2E9C-101B-9397-08002B2CF9AE}" pid="30" name="Zip">
    <vt:lpwstr/>
  </property>
  <property fmtid="{D5CDD505-2E9C-101B-9397-08002B2CF9AE}" pid="31" name="County">
    <vt:lpwstr/>
  </property>
  <property fmtid="{D5CDD505-2E9C-101B-9397-08002B2CF9AE}" pid="32" name="Location">
    <vt:lpwstr/>
  </property>
  <property fmtid="{D5CDD505-2E9C-101B-9397-08002B2CF9AE}" pid="33" name="IsClientPortalUser">
    <vt:lpwstr>False</vt:lpwstr>
  </property>
  <property fmtid="{D5CDD505-2E9C-101B-9397-08002B2CF9AE}" pid="34" name="DateTimeOpened">
    <vt:lpwstr>2/23/2026 2:15:57 PM</vt:lpwstr>
  </property>
  <property fmtid="{D5CDD505-2E9C-101B-9397-08002B2CF9AE}" pid="35" name="OpenedFrom">
    <vt:lpwstr>[object Object]</vt:lpwstr>
  </property>
  <property fmtid="{D5CDD505-2E9C-101B-9397-08002B2CF9AE}" pid="36" name="RequestId">
    <vt:i4>10756</vt:i4>
  </property>
  <property fmtid="{D5CDD505-2E9C-101B-9397-08002B2CF9AE}" pid="37" name="IsWorkpaperRequest">
    <vt:lpwstr>0</vt:lpwstr>
  </property>
  <property fmtid="{D5CDD505-2E9C-101B-9397-08002B2CF9AE}" pid="38" name="IsGetTemplateFromServer">
    <vt:lpwstr>0</vt:lpwstr>
  </property>
  <property fmtid="{D5CDD505-2E9C-101B-9397-08002B2CF9AE}" pid="39" name="isCustomTemplate">
    <vt:bool>false</vt:bool>
  </property>
  <property fmtid="{D5CDD505-2E9C-101B-9397-08002B2CF9AE}" pid="40" name="Edit">
    <vt:lpwstr>1</vt:lpwstr>
  </property>
  <property fmtid="{D5CDD505-2E9C-101B-9397-08002B2CF9AE}" pid="41" name="ReadNotes">
    <vt:lpwstr>1</vt:lpwstr>
  </property>
  <property fmtid="{D5CDD505-2E9C-101B-9397-08002B2CF9AE}" pid="42" name="EditNotes">
    <vt:lpwstr>1</vt:lpwstr>
  </property>
  <property fmtid="{D5CDD505-2E9C-101B-9397-08002B2CF9AE}" pid="43" name="DeleteNotes">
    <vt:lpwstr>1</vt:lpwstr>
  </property>
  <property fmtid="{D5CDD505-2E9C-101B-9397-08002B2CF9AE}" pid="44" name="DocsUpload ">
    <vt:lpwstr>1</vt:lpwstr>
  </property>
  <property fmtid="{D5CDD505-2E9C-101B-9397-08002B2CF9AE}" pid="45" name="SecurityToken">
    <vt:lpwstr>Zu1l6ulhwOflYi5j7~~2u4~~8hsDIvMjOvMjAyNiAxtDqxtzqxOC41uTCh773BRFmh7/U9QcRZIe937b2x</vt:lpwstr>
  </property>
  <property fmtid="{D5CDD505-2E9C-101B-9397-08002B2CF9AE}" pid="46" name="DisplaySheetTabs">
    <vt:bool>true</vt:bool>
  </property>
</Properties>
</file>